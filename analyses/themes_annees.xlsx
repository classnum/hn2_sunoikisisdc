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ine\Documents\git\hn2\hn2_sunoikisisdc\hn2_sunoikisisdc\analyses\"/>
    </mc:Choice>
  </mc:AlternateContent>
  <xr:revisionPtr revIDLastSave="0" documentId="8_{40708113-ADA0-4E05-9329-464D0535C29C}" xr6:coauthVersionLast="47" xr6:coauthVersionMax="47" xr10:uidLastSave="{00000000-0000-0000-0000-000000000000}"/>
  <bookViews>
    <workbookView xWindow="-20610" yWindow="-120" windowWidth="20730" windowHeight="11160" xr2:uid="{24CA510C-97A3-4B30-8F2B-15A22793EDE0}"/>
  </bookViews>
  <sheets>
    <sheet name="thèmes_anné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9" i="3" l="1"/>
  <c r="H49" i="3"/>
  <c r="G49" i="3"/>
  <c r="F49" i="3"/>
  <c r="E49" i="3"/>
  <c r="D49" i="3"/>
  <c r="C49" i="3"/>
  <c r="B49" i="3"/>
  <c r="AO46" i="3"/>
  <c r="AJ46" i="3"/>
  <c r="AK46" i="3"/>
  <c r="AI46" i="3"/>
  <c r="AH46" i="3"/>
  <c r="N46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3" i="3"/>
  <c r="AJ3" i="3"/>
  <c r="AI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AE3" i="3"/>
  <c r="AD3" i="3"/>
  <c r="AC3" i="3"/>
  <c r="AB3" i="3"/>
  <c r="AA3" i="3"/>
  <c r="Z3" i="3"/>
  <c r="Y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3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3" i="3"/>
  <c r="B47" i="3"/>
  <c r="I47" i="3"/>
  <c r="H47" i="3"/>
  <c r="G47" i="3"/>
  <c r="F47" i="3"/>
  <c r="D47" i="3"/>
  <c r="E47" i="3"/>
  <c r="C47" i="3"/>
</calcChain>
</file>

<file path=xl/sharedStrings.xml><?xml version="1.0" encoding="utf-8"?>
<sst xmlns="http://schemas.openxmlformats.org/spreadsheetml/2006/main" count="306" uniqueCount="71">
  <si>
    <t>2014-2015</t>
  </si>
  <si>
    <t>prosopography</t>
  </si>
  <si>
    <t>geography</t>
  </si>
  <si>
    <t>named entities</t>
  </si>
  <si>
    <t>annotation</t>
  </si>
  <si>
    <t>semantic Web</t>
  </si>
  <si>
    <t>linked open data</t>
  </si>
  <si>
    <t>semantics</t>
  </si>
  <si>
    <t>text mining</t>
  </si>
  <si>
    <t>epigraphy</t>
  </si>
  <si>
    <t>translation</t>
  </si>
  <si>
    <t>visualisation</t>
  </si>
  <si>
    <t>objects and artefacts</t>
  </si>
  <si>
    <t>maps and mapping</t>
  </si>
  <si>
    <t>encoding</t>
  </si>
  <si>
    <t>XML-TEI</t>
  </si>
  <si>
    <t>treebank</t>
  </si>
  <si>
    <t>2015-2016</t>
  </si>
  <si>
    <t>digitisation</t>
  </si>
  <si>
    <t>cultural studies</t>
  </si>
  <si>
    <t>teaching and pedagogy</t>
  </si>
  <si>
    <t>text analysis</t>
  </si>
  <si>
    <t>2016-2017</t>
  </si>
  <si>
    <t>archaeology</t>
  </si>
  <si>
    <t>standards</t>
  </si>
  <si>
    <t>data mining</t>
  </si>
  <si>
    <t>database</t>
  </si>
  <si>
    <t>crowdsourcing</t>
  </si>
  <si>
    <t>digital archives and library</t>
  </si>
  <si>
    <t>text encoding</t>
  </si>
  <si>
    <t>paleography</t>
  </si>
  <si>
    <t>manuscript</t>
  </si>
  <si>
    <t>topic modeling</t>
  </si>
  <si>
    <t>2017-2018</t>
  </si>
  <si>
    <t>digital methods</t>
  </si>
  <si>
    <t>digital edition</t>
  </si>
  <si>
    <t>data analysis</t>
  </si>
  <si>
    <t>copyright license and open access</t>
  </si>
  <si>
    <t>NLP</t>
  </si>
  <si>
    <t>metadata</t>
  </si>
  <si>
    <t>2018-2019</t>
  </si>
  <si>
    <t>scholarly editing</t>
  </si>
  <si>
    <t>2019-2020</t>
  </si>
  <si>
    <t>photography</t>
  </si>
  <si>
    <t>research process</t>
  </si>
  <si>
    <t>2020-2021</t>
  </si>
  <si>
    <t>linguistics</t>
  </si>
  <si>
    <t>2021-2022</t>
  </si>
  <si>
    <t>digital humanities history</t>
  </si>
  <si>
    <t>virtual and augmented reality</t>
  </si>
  <si>
    <t xml:space="preserve">cultural studies </t>
  </si>
  <si>
    <t xml:space="preserve">sentiment analysis </t>
  </si>
  <si>
    <t>GLAM</t>
  </si>
  <si>
    <t>total thèmes abordés</t>
  </si>
  <si>
    <t>total thèmes différents</t>
  </si>
  <si>
    <t xml:space="preserve">présents tous les ans </t>
  </si>
  <si>
    <t>oui</t>
  </si>
  <si>
    <t xml:space="preserve">année d'apparition </t>
  </si>
  <si>
    <t xml:space="preserve">2014-2015 </t>
  </si>
  <si>
    <t xml:space="preserve">thèmes importants </t>
  </si>
  <si>
    <t xml:space="preserve">annotation </t>
  </si>
  <si>
    <t>objectifs and artefacts</t>
  </si>
  <si>
    <t xml:space="preserve">translation </t>
  </si>
  <si>
    <t xml:space="preserve">visualisation </t>
  </si>
  <si>
    <t>linked and open data</t>
  </si>
  <si>
    <t xml:space="preserve">digitisation </t>
  </si>
  <si>
    <t xml:space="preserve">Fréquence sur le nombre de thèmes </t>
  </si>
  <si>
    <t>Fréquence sur le nombre total de thèmes</t>
  </si>
  <si>
    <t>thèmes par année</t>
  </si>
  <si>
    <t xml:space="preserve">par rapport au nombre de séance </t>
  </si>
  <si>
    <t>Fréquence sur le nombre de séance par années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</si>
</sst>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0275-D60F-42F4-B7EC-3A317B522700}">
  <dimension ref="A1:AO58"/>
  <sheetViews>
    <sheetView tabSelected="1" topLeftCell="N1" zoomScale="55" zoomScaleNormal="55" workbookViewId="0">
      <selection activeCell="AJ32" sqref="AJ32"/>
    </sheetView>
  </sheetViews>
  <sheetFormatPr baseColWidth="10" defaultRowHeight="14.5" x14ac:dyDescent="0.35"/>
  <cols>
    <col min="1" max="1" width="33" bestFit="1" customWidth="1"/>
    <col min="10" max="10" width="20.81640625" bestFit="1" customWidth="1"/>
    <col min="11" max="11" width="17.1796875" bestFit="1" customWidth="1"/>
    <col min="12" max="12" width="3.1796875" style="1" customWidth="1"/>
    <col min="13" max="13" width="19.1796875" bestFit="1" customWidth="1"/>
    <col min="22" max="22" width="5" style="1" customWidth="1"/>
    <col min="32" max="32" width="4.7265625" style="1" customWidth="1"/>
    <col min="33" max="33" width="32.26953125" bestFit="1" customWidth="1"/>
  </cols>
  <sheetData>
    <row r="1" spans="1:41" x14ac:dyDescent="0.35">
      <c r="B1" s="2" t="s">
        <v>68</v>
      </c>
      <c r="C1" s="2"/>
      <c r="D1" s="2"/>
      <c r="E1" s="2"/>
      <c r="F1" s="2"/>
      <c r="G1" s="2"/>
      <c r="H1" s="2"/>
      <c r="I1" s="2"/>
      <c r="N1" s="2" t="s">
        <v>66</v>
      </c>
      <c r="O1" s="2"/>
      <c r="P1" s="2"/>
      <c r="Q1" s="2"/>
      <c r="R1" s="2"/>
      <c r="S1" s="2"/>
      <c r="T1" s="2"/>
      <c r="U1" s="2"/>
      <c r="X1" s="2" t="s">
        <v>67</v>
      </c>
      <c r="Y1" s="2"/>
      <c r="Z1" s="2"/>
      <c r="AA1" s="2"/>
      <c r="AB1" s="2"/>
      <c r="AC1" s="2"/>
      <c r="AD1" s="2"/>
      <c r="AE1" s="2"/>
      <c r="AF1" s="3"/>
      <c r="AH1" s="2" t="s">
        <v>70</v>
      </c>
      <c r="AI1" s="2"/>
      <c r="AJ1" s="2"/>
      <c r="AK1" s="2"/>
      <c r="AL1" s="2"/>
      <c r="AM1" s="2"/>
      <c r="AN1" s="2"/>
      <c r="AO1" s="2"/>
    </row>
    <row r="2" spans="1:41" x14ac:dyDescent="0.35">
      <c r="B2" t="s">
        <v>0</v>
      </c>
      <c r="C2" t="s">
        <v>17</v>
      </c>
      <c r="D2" t="s">
        <v>22</v>
      </c>
      <c r="E2" t="s">
        <v>33</v>
      </c>
      <c r="F2" t="s">
        <v>40</v>
      </c>
      <c r="G2" t="s">
        <v>42</v>
      </c>
      <c r="H2" t="s">
        <v>45</v>
      </c>
      <c r="I2" t="s">
        <v>47</v>
      </c>
      <c r="J2" t="s">
        <v>55</v>
      </c>
      <c r="K2" t="s">
        <v>57</v>
      </c>
      <c r="N2" t="s">
        <v>58</v>
      </c>
      <c r="O2" t="s">
        <v>17</v>
      </c>
      <c r="P2" t="s">
        <v>22</v>
      </c>
      <c r="Q2" t="s">
        <v>33</v>
      </c>
      <c r="R2" t="s">
        <v>40</v>
      </c>
      <c r="S2" t="s">
        <v>42</v>
      </c>
      <c r="T2" t="s">
        <v>45</v>
      </c>
      <c r="U2" t="s">
        <v>47</v>
      </c>
      <c r="X2" t="s">
        <v>58</v>
      </c>
      <c r="Y2" t="s">
        <v>17</v>
      </c>
      <c r="Z2" t="s">
        <v>22</v>
      </c>
      <c r="AA2" t="s">
        <v>33</v>
      </c>
      <c r="AB2" t="s">
        <v>40</v>
      </c>
      <c r="AC2" t="s">
        <v>42</v>
      </c>
      <c r="AD2" t="s">
        <v>45</v>
      </c>
      <c r="AE2" t="s">
        <v>47</v>
      </c>
      <c r="AH2" t="s">
        <v>58</v>
      </c>
      <c r="AI2" t="s">
        <v>17</v>
      </c>
      <c r="AJ2" t="s">
        <v>22</v>
      </c>
      <c r="AK2" t="s">
        <v>33</v>
      </c>
      <c r="AL2" t="s">
        <v>40</v>
      </c>
      <c r="AM2" t="s">
        <v>42</v>
      </c>
      <c r="AN2" t="s">
        <v>45</v>
      </c>
      <c r="AO2" t="s">
        <v>47</v>
      </c>
    </row>
    <row r="3" spans="1:41" x14ac:dyDescent="0.35">
      <c r="A3" t="s">
        <v>4</v>
      </c>
      <c r="B3">
        <v>9</v>
      </c>
      <c r="C3">
        <v>8</v>
      </c>
      <c r="D3">
        <v>11</v>
      </c>
      <c r="E3">
        <v>13</v>
      </c>
      <c r="F3">
        <v>12</v>
      </c>
      <c r="G3">
        <v>4</v>
      </c>
      <c r="H3">
        <v>10</v>
      </c>
      <c r="I3">
        <v>4</v>
      </c>
      <c r="J3" t="s">
        <v>56</v>
      </c>
      <c r="K3" t="s">
        <v>0</v>
      </c>
      <c r="M3" t="s">
        <v>4</v>
      </c>
      <c r="N3">
        <f>B3/17*100</f>
        <v>52.941176470588239</v>
      </c>
      <c r="O3">
        <f>C3/15*100</f>
        <v>53.333333333333336</v>
      </c>
      <c r="P3">
        <f>D3/27*100</f>
        <v>40.74074074074074</v>
      </c>
      <c r="Q3">
        <f>E3/29*100</f>
        <v>44.827586206896555</v>
      </c>
      <c r="R3">
        <f>F3/34*100</f>
        <v>35.294117647058826</v>
      </c>
      <c r="S3">
        <f>G3/34*100</f>
        <v>11.76470588235294</v>
      </c>
      <c r="T3">
        <f>H3/31*100</f>
        <v>32.258064516129032</v>
      </c>
      <c r="U3">
        <f>I3/25*100</f>
        <v>16</v>
      </c>
      <c r="W3" t="s">
        <v>4</v>
      </c>
      <c r="X3">
        <f>B3/32*100</f>
        <v>28.125</v>
      </c>
      <c r="Y3">
        <f>C3/49*100</f>
        <v>16.326530612244898</v>
      </c>
      <c r="Z3">
        <f>D3/103*100</f>
        <v>10.679611650485436</v>
      </c>
      <c r="AA3">
        <f>E3/118*100</f>
        <v>11.016949152542372</v>
      </c>
      <c r="AB3">
        <f>F3/113*100</f>
        <v>10.619469026548673</v>
      </c>
      <c r="AC3">
        <f>G3/108*100</f>
        <v>3.7037037037037033</v>
      </c>
      <c r="AD3">
        <f>H3/98*100</f>
        <v>10.204081632653061</v>
      </c>
      <c r="AE3">
        <f>I3/60*100</f>
        <v>6.666666666666667</v>
      </c>
      <c r="AG3" t="s">
        <v>4</v>
      </c>
      <c r="AH3">
        <f>B3/13*100</f>
        <v>69.230769230769226</v>
      </c>
      <c r="AI3">
        <f>C3/23*100</f>
        <v>34.782608695652172</v>
      </c>
      <c r="AJ3">
        <f>D3/35*100</f>
        <v>31.428571428571427</v>
      </c>
      <c r="AK3">
        <f>E3/35*100</f>
        <v>37.142857142857146</v>
      </c>
      <c r="AL3">
        <f>F3/32*100</f>
        <v>37.5</v>
      </c>
      <c r="AM3">
        <f>G3/32*100</f>
        <v>12.5</v>
      </c>
      <c r="AN3">
        <f>H3/32*100</f>
        <v>31.25</v>
      </c>
      <c r="AO3">
        <f>I3/18*100</f>
        <v>22.222222222222221</v>
      </c>
    </row>
    <row r="4" spans="1:41" x14ac:dyDescent="0.35">
      <c r="A4" t="s">
        <v>23</v>
      </c>
      <c r="D4">
        <v>1</v>
      </c>
      <c r="E4">
        <v>1</v>
      </c>
      <c r="G4">
        <v>2</v>
      </c>
      <c r="H4">
        <v>1</v>
      </c>
      <c r="I4">
        <v>4</v>
      </c>
      <c r="K4" t="s">
        <v>22</v>
      </c>
      <c r="M4" t="s">
        <v>23</v>
      </c>
      <c r="N4">
        <f t="shared" ref="N4:N46" si="0">B4/17*100</f>
        <v>0</v>
      </c>
      <c r="O4">
        <f t="shared" ref="O4:O46" si="1">C4/15*100</f>
        <v>0</v>
      </c>
      <c r="P4">
        <f t="shared" ref="P4:P46" si="2">D4/27*100</f>
        <v>3.7037037037037033</v>
      </c>
      <c r="Q4">
        <f t="shared" ref="Q4:Q46" si="3">E4/29*100</f>
        <v>3.4482758620689653</v>
      </c>
      <c r="R4">
        <f t="shared" ref="R4:R46" si="4">F4/34*100</f>
        <v>0</v>
      </c>
      <c r="S4">
        <f t="shared" ref="S4:S46" si="5">G4/34*100</f>
        <v>5.8823529411764701</v>
      </c>
      <c r="T4">
        <f t="shared" ref="T4:T46" si="6">H4/31*100</f>
        <v>3.225806451612903</v>
      </c>
      <c r="U4">
        <f t="shared" ref="U4:U46" si="7">I4/25*100</f>
        <v>16</v>
      </c>
      <c r="W4" t="s">
        <v>23</v>
      </c>
      <c r="X4">
        <f t="shared" ref="X4:X46" si="8">B4/32*100</f>
        <v>0</v>
      </c>
      <c r="Y4">
        <f t="shared" ref="Y4:Y46" si="9">C4/49*100</f>
        <v>0</v>
      </c>
      <c r="Z4">
        <f t="shared" ref="Z4:Z46" si="10">D4/103*100</f>
        <v>0.97087378640776689</v>
      </c>
      <c r="AA4">
        <f t="shared" ref="AA4:AA46" si="11">E4/118*100</f>
        <v>0.84745762711864403</v>
      </c>
      <c r="AB4">
        <f t="shared" ref="AB4:AB46" si="12">F4/113*100</f>
        <v>0</v>
      </c>
      <c r="AC4">
        <f t="shared" ref="AC4:AC46" si="13">G4/108*100</f>
        <v>1.8518518518518516</v>
      </c>
      <c r="AD4">
        <f t="shared" ref="AD4:AD46" si="14">H4/98*100</f>
        <v>1.0204081632653061</v>
      </c>
      <c r="AE4">
        <f t="shared" ref="AE4:AE46" si="15">I4/60*100</f>
        <v>6.666666666666667</v>
      </c>
      <c r="AG4" t="s">
        <v>23</v>
      </c>
      <c r="AH4">
        <f t="shared" ref="AH4:AH46" si="16">B4/13*100</f>
        <v>0</v>
      </c>
      <c r="AI4">
        <f t="shared" ref="AI4:AI46" si="17">C4/23*100</f>
        <v>0</v>
      </c>
      <c r="AJ4">
        <f t="shared" ref="AJ4:AJ46" si="18">D4/35*100</f>
        <v>2.8571428571428572</v>
      </c>
      <c r="AK4">
        <f t="shared" ref="AK4:AK46" si="19">E4/35*100</f>
        <v>2.8571428571428572</v>
      </c>
      <c r="AL4">
        <f t="shared" ref="AL4:AL46" si="20">F4/32*100</f>
        <v>0</v>
      </c>
      <c r="AM4">
        <f t="shared" ref="AM4:AM46" si="21">G4/32*100</f>
        <v>6.25</v>
      </c>
      <c r="AN4">
        <f t="shared" ref="AN4:AN46" si="22">H4/32*100</f>
        <v>3.125</v>
      </c>
      <c r="AO4">
        <f t="shared" ref="AO4:AO46" si="23">I4/18*100</f>
        <v>22.222222222222221</v>
      </c>
    </row>
    <row r="5" spans="1:41" x14ac:dyDescent="0.35">
      <c r="A5" t="s">
        <v>37</v>
      </c>
      <c r="F5">
        <v>2</v>
      </c>
      <c r="G5">
        <v>3</v>
      </c>
      <c r="H5">
        <v>3</v>
      </c>
      <c r="I5">
        <v>3</v>
      </c>
      <c r="K5" t="s">
        <v>40</v>
      </c>
      <c r="M5" t="s">
        <v>37</v>
      </c>
      <c r="N5">
        <f t="shared" si="0"/>
        <v>0</v>
      </c>
      <c r="O5">
        <f t="shared" si="1"/>
        <v>0</v>
      </c>
      <c r="P5">
        <f t="shared" si="2"/>
        <v>0</v>
      </c>
      <c r="Q5">
        <f t="shared" si="3"/>
        <v>0</v>
      </c>
      <c r="R5">
        <f t="shared" si="4"/>
        <v>5.8823529411764701</v>
      </c>
      <c r="S5">
        <f t="shared" si="5"/>
        <v>8.8235294117647065</v>
      </c>
      <c r="T5">
        <f t="shared" si="6"/>
        <v>9.67741935483871</v>
      </c>
      <c r="U5">
        <f t="shared" si="7"/>
        <v>12</v>
      </c>
      <c r="W5" t="s">
        <v>37</v>
      </c>
      <c r="X5">
        <f t="shared" si="8"/>
        <v>0</v>
      </c>
      <c r="Y5">
        <f t="shared" si="9"/>
        <v>0</v>
      </c>
      <c r="Z5">
        <f t="shared" si="10"/>
        <v>0</v>
      </c>
      <c r="AA5">
        <f t="shared" si="11"/>
        <v>0</v>
      </c>
      <c r="AB5">
        <f t="shared" si="12"/>
        <v>1.7699115044247788</v>
      </c>
      <c r="AC5">
        <f t="shared" si="13"/>
        <v>2.7777777777777777</v>
      </c>
      <c r="AD5">
        <f t="shared" si="14"/>
        <v>3.0612244897959182</v>
      </c>
      <c r="AE5">
        <f t="shared" si="15"/>
        <v>5</v>
      </c>
      <c r="AG5" t="s">
        <v>37</v>
      </c>
      <c r="AH5">
        <f t="shared" si="16"/>
        <v>0</v>
      </c>
      <c r="AI5">
        <f t="shared" si="17"/>
        <v>0</v>
      </c>
      <c r="AJ5">
        <f t="shared" si="18"/>
        <v>0</v>
      </c>
      <c r="AK5">
        <f t="shared" si="19"/>
        <v>0</v>
      </c>
      <c r="AL5">
        <f t="shared" si="20"/>
        <v>6.25</v>
      </c>
      <c r="AM5">
        <f t="shared" si="21"/>
        <v>9.375</v>
      </c>
      <c r="AN5">
        <f t="shared" si="22"/>
        <v>9.375</v>
      </c>
      <c r="AO5">
        <f t="shared" si="23"/>
        <v>16.666666666666664</v>
      </c>
    </row>
    <row r="6" spans="1:41" x14ac:dyDescent="0.35">
      <c r="A6" t="s">
        <v>27</v>
      </c>
      <c r="D6">
        <v>1</v>
      </c>
      <c r="E6">
        <v>2</v>
      </c>
      <c r="F6">
        <v>1</v>
      </c>
      <c r="G6">
        <v>1</v>
      </c>
      <c r="I6">
        <v>1</v>
      </c>
      <c r="K6" t="s">
        <v>22</v>
      </c>
      <c r="M6" t="s">
        <v>27</v>
      </c>
      <c r="N6">
        <f t="shared" si="0"/>
        <v>0</v>
      </c>
      <c r="O6">
        <f t="shared" si="1"/>
        <v>0</v>
      </c>
      <c r="P6">
        <f t="shared" si="2"/>
        <v>3.7037037037037033</v>
      </c>
      <c r="Q6">
        <f t="shared" si="3"/>
        <v>6.8965517241379306</v>
      </c>
      <c r="R6">
        <f t="shared" si="4"/>
        <v>2.9411764705882351</v>
      </c>
      <c r="S6">
        <f t="shared" si="5"/>
        <v>2.9411764705882351</v>
      </c>
      <c r="T6">
        <f t="shared" si="6"/>
        <v>0</v>
      </c>
      <c r="U6">
        <f t="shared" si="7"/>
        <v>4</v>
      </c>
      <c r="W6" t="s">
        <v>27</v>
      </c>
      <c r="X6">
        <f t="shared" si="8"/>
        <v>0</v>
      </c>
      <c r="Y6">
        <f t="shared" si="9"/>
        <v>0</v>
      </c>
      <c r="Z6">
        <f t="shared" si="10"/>
        <v>0.97087378640776689</v>
      </c>
      <c r="AA6">
        <f t="shared" si="11"/>
        <v>1.6949152542372881</v>
      </c>
      <c r="AB6">
        <f t="shared" si="12"/>
        <v>0.88495575221238942</v>
      </c>
      <c r="AC6">
        <f t="shared" si="13"/>
        <v>0.92592592592592582</v>
      </c>
      <c r="AD6">
        <f t="shared" si="14"/>
        <v>0</v>
      </c>
      <c r="AE6">
        <f t="shared" si="15"/>
        <v>1.6666666666666667</v>
      </c>
      <c r="AG6" t="s">
        <v>27</v>
      </c>
      <c r="AH6">
        <f t="shared" si="16"/>
        <v>0</v>
      </c>
      <c r="AI6">
        <f t="shared" si="17"/>
        <v>0</v>
      </c>
      <c r="AJ6">
        <f t="shared" si="18"/>
        <v>2.8571428571428572</v>
      </c>
      <c r="AK6">
        <f t="shared" si="19"/>
        <v>5.7142857142857144</v>
      </c>
      <c r="AL6">
        <f t="shared" si="20"/>
        <v>3.125</v>
      </c>
      <c r="AM6">
        <f t="shared" si="21"/>
        <v>3.125</v>
      </c>
      <c r="AN6">
        <f t="shared" si="22"/>
        <v>0</v>
      </c>
      <c r="AO6">
        <f t="shared" si="23"/>
        <v>5.5555555555555554</v>
      </c>
    </row>
    <row r="7" spans="1:41" x14ac:dyDescent="0.35">
      <c r="A7" t="s">
        <v>50</v>
      </c>
      <c r="C7">
        <v>1</v>
      </c>
      <c r="E7">
        <v>1</v>
      </c>
      <c r="F7">
        <v>4</v>
      </c>
      <c r="G7">
        <v>4</v>
      </c>
      <c r="H7">
        <v>2</v>
      </c>
      <c r="I7">
        <v>4</v>
      </c>
      <c r="K7" t="s">
        <v>17</v>
      </c>
      <c r="M7" t="s">
        <v>50</v>
      </c>
      <c r="N7">
        <f t="shared" si="0"/>
        <v>0</v>
      </c>
      <c r="O7">
        <f t="shared" si="1"/>
        <v>6.666666666666667</v>
      </c>
      <c r="P7">
        <f t="shared" si="2"/>
        <v>0</v>
      </c>
      <c r="Q7">
        <f t="shared" si="3"/>
        <v>3.4482758620689653</v>
      </c>
      <c r="R7">
        <f t="shared" si="4"/>
        <v>11.76470588235294</v>
      </c>
      <c r="S7">
        <f t="shared" si="5"/>
        <v>11.76470588235294</v>
      </c>
      <c r="T7">
        <f t="shared" si="6"/>
        <v>6.4516129032258061</v>
      </c>
      <c r="U7">
        <f t="shared" si="7"/>
        <v>16</v>
      </c>
      <c r="W7" t="s">
        <v>50</v>
      </c>
      <c r="X7">
        <f t="shared" si="8"/>
        <v>0</v>
      </c>
      <c r="Y7">
        <f t="shared" si="9"/>
        <v>2.0408163265306123</v>
      </c>
      <c r="Z7">
        <f t="shared" si="10"/>
        <v>0</v>
      </c>
      <c r="AA7">
        <f t="shared" si="11"/>
        <v>0.84745762711864403</v>
      </c>
      <c r="AB7">
        <f t="shared" si="12"/>
        <v>3.5398230088495577</v>
      </c>
      <c r="AC7">
        <f t="shared" si="13"/>
        <v>3.7037037037037033</v>
      </c>
      <c r="AD7">
        <f t="shared" si="14"/>
        <v>2.0408163265306123</v>
      </c>
      <c r="AE7">
        <f t="shared" si="15"/>
        <v>6.666666666666667</v>
      </c>
      <c r="AG7" t="s">
        <v>50</v>
      </c>
      <c r="AH7">
        <f t="shared" si="16"/>
        <v>0</v>
      </c>
      <c r="AI7">
        <f t="shared" si="17"/>
        <v>4.3478260869565215</v>
      </c>
      <c r="AJ7">
        <f t="shared" si="18"/>
        <v>0</v>
      </c>
      <c r="AK7">
        <f t="shared" si="19"/>
        <v>2.8571428571428572</v>
      </c>
      <c r="AL7">
        <f t="shared" si="20"/>
        <v>12.5</v>
      </c>
      <c r="AM7">
        <f t="shared" si="21"/>
        <v>12.5</v>
      </c>
      <c r="AN7">
        <f t="shared" si="22"/>
        <v>6.25</v>
      </c>
      <c r="AO7">
        <f t="shared" si="23"/>
        <v>22.222222222222221</v>
      </c>
    </row>
    <row r="8" spans="1:41" x14ac:dyDescent="0.35">
      <c r="A8" t="s">
        <v>36</v>
      </c>
      <c r="E8">
        <v>1</v>
      </c>
      <c r="F8">
        <v>1</v>
      </c>
      <c r="G8">
        <v>1</v>
      </c>
      <c r="K8" t="s">
        <v>33</v>
      </c>
      <c r="M8" t="s">
        <v>36</v>
      </c>
      <c r="N8">
        <f t="shared" si="0"/>
        <v>0</v>
      </c>
      <c r="O8">
        <f t="shared" si="1"/>
        <v>0</v>
      </c>
      <c r="P8">
        <f t="shared" si="2"/>
        <v>0</v>
      </c>
      <c r="Q8">
        <f t="shared" si="3"/>
        <v>3.4482758620689653</v>
      </c>
      <c r="R8">
        <f t="shared" si="4"/>
        <v>2.9411764705882351</v>
      </c>
      <c r="S8">
        <f t="shared" si="5"/>
        <v>2.9411764705882351</v>
      </c>
      <c r="T8">
        <f t="shared" si="6"/>
        <v>0</v>
      </c>
      <c r="U8">
        <f t="shared" si="7"/>
        <v>0</v>
      </c>
      <c r="W8" t="s">
        <v>36</v>
      </c>
      <c r="X8">
        <f t="shared" si="8"/>
        <v>0</v>
      </c>
      <c r="Y8">
        <f t="shared" si="9"/>
        <v>0</v>
      </c>
      <c r="Z8">
        <f t="shared" si="10"/>
        <v>0</v>
      </c>
      <c r="AA8">
        <f t="shared" si="11"/>
        <v>0.84745762711864403</v>
      </c>
      <c r="AB8">
        <f t="shared" si="12"/>
        <v>0.88495575221238942</v>
      </c>
      <c r="AC8">
        <f t="shared" si="13"/>
        <v>0.92592592592592582</v>
      </c>
      <c r="AD8">
        <f t="shared" si="14"/>
        <v>0</v>
      </c>
      <c r="AE8">
        <f t="shared" si="15"/>
        <v>0</v>
      </c>
      <c r="AG8" t="s">
        <v>36</v>
      </c>
      <c r="AH8">
        <f t="shared" si="16"/>
        <v>0</v>
      </c>
      <c r="AI8">
        <f t="shared" si="17"/>
        <v>0</v>
      </c>
      <c r="AJ8">
        <f t="shared" si="18"/>
        <v>0</v>
      </c>
      <c r="AK8">
        <f t="shared" si="19"/>
        <v>2.8571428571428572</v>
      </c>
      <c r="AL8">
        <f t="shared" si="20"/>
        <v>3.125</v>
      </c>
      <c r="AM8">
        <f t="shared" si="21"/>
        <v>3.125</v>
      </c>
      <c r="AN8">
        <f t="shared" si="22"/>
        <v>0</v>
      </c>
      <c r="AO8">
        <f t="shared" si="23"/>
        <v>0</v>
      </c>
    </row>
    <row r="9" spans="1:41" x14ac:dyDescent="0.35">
      <c r="A9" t="s">
        <v>25</v>
      </c>
      <c r="D9">
        <v>11</v>
      </c>
      <c r="E9">
        <v>8</v>
      </c>
      <c r="F9">
        <v>6</v>
      </c>
      <c r="G9">
        <v>2</v>
      </c>
      <c r="K9" t="s">
        <v>22</v>
      </c>
      <c r="M9" t="s">
        <v>25</v>
      </c>
      <c r="N9">
        <f t="shared" si="0"/>
        <v>0</v>
      </c>
      <c r="O9">
        <f t="shared" si="1"/>
        <v>0</v>
      </c>
      <c r="P9">
        <f t="shared" si="2"/>
        <v>40.74074074074074</v>
      </c>
      <c r="Q9">
        <f t="shared" si="3"/>
        <v>27.586206896551722</v>
      </c>
      <c r="R9">
        <f t="shared" si="4"/>
        <v>17.647058823529413</v>
      </c>
      <c r="S9">
        <f t="shared" si="5"/>
        <v>5.8823529411764701</v>
      </c>
      <c r="T9">
        <f t="shared" si="6"/>
        <v>0</v>
      </c>
      <c r="U9">
        <f t="shared" si="7"/>
        <v>0</v>
      </c>
      <c r="W9" t="s">
        <v>25</v>
      </c>
      <c r="X9">
        <f t="shared" si="8"/>
        <v>0</v>
      </c>
      <c r="Y9">
        <f t="shared" si="9"/>
        <v>0</v>
      </c>
      <c r="Z9">
        <f t="shared" si="10"/>
        <v>10.679611650485436</v>
      </c>
      <c r="AA9">
        <f t="shared" si="11"/>
        <v>6.7796610169491522</v>
      </c>
      <c r="AB9">
        <f t="shared" si="12"/>
        <v>5.3097345132743365</v>
      </c>
      <c r="AC9">
        <f t="shared" si="13"/>
        <v>1.8518518518518516</v>
      </c>
      <c r="AD9">
        <f t="shared" si="14"/>
        <v>0</v>
      </c>
      <c r="AE9">
        <f t="shared" si="15"/>
        <v>0</v>
      </c>
      <c r="AG9" t="s">
        <v>25</v>
      </c>
      <c r="AH9">
        <f t="shared" si="16"/>
        <v>0</v>
      </c>
      <c r="AI9">
        <f t="shared" si="17"/>
        <v>0</v>
      </c>
      <c r="AJ9">
        <f t="shared" si="18"/>
        <v>31.428571428571427</v>
      </c>
      <c r="AK9">
        <f t="shared" si="19"/>
        <v>22.857142857142858</v>
      </c>
      <c r="AL9">
        <f t="shared" si="20"/>
        <v>18.75</v>
      </c>
      <c r="AM9">
        <f t="shared" si="21"/>
        <v>6.25</v>
      </c>
      <c r="AN9">
        <f t="shared" si="22"/>
        <v>0</v>
      </c>
      <c r="AO9">
        <f t="shared" si="23"/>
        <v>0</v>
      </c>
    </row>
    <row r="10" spans="1:41" x14ac:dyDescent="0.35">
      <c r="A10" t="s">
        <v>26</v>
      </c>
      <c r="D10">
        <v>1</v>
      </c>
      <c r="E10">
        <v>3</v>
      </c>
      <c r="F10">
        <v>3</v>
      </c>
      <c r="G10">
        <v>7</v>
      </c>
      <c r="H10">
        <v>4</v>
      </c>
      <c r="K10" t="s">
        <v>22</v>
      </c>
      <c r="M10" t="s">
        <v>26</v>
      </c>
      <c r="N10">
        <f t="shared" si="0"/>
        <v>0</v>
      </c>
      <c r="O10">
        <f t="shared" si="1"/>
        <v>0</v>
      </c>
      <c r="P10">
        <f t="shared" si="2"/>
        <v>3.7037037037037033</v>
      </c>
      <c r="Q10">
        <f t="shared" si="3"/>
        <v>10.344827586206897</v>
      </c>
      <c r="R10">
        <f t="shared" si="4"/>
        <v>8.8235294117647065</v>
      </c>
      <c r="S10">
        <f t="shared" si="5"/>
        <v>20.588235294117645</v>
      </c>
      <c r="T10">
        <f t="shared" si="6"/>
        <v>12.903225806451612</v>
      </c>
      <c r="U10">
        <f t="shared" si="7"/>
        <v>0</v>
      </c>
      <c r="W10" t="s">
        <v>26</v>
      </c>
      <c r="X10">
        <f t="shared" si="8"/>
        <v>0</v>
      </c>
      <c r="Y10">
        <f t="shared" si="9"/>
        <v>0</v>
      </c>
      <c r="Z10">
        <f t="shared" si="10"/>
        <v>0.97087378640776689</v>
      </c>
      <c r="AA10">
        <f t="shared" si="11"/>
        <v>2.5423728813559325</v>
      </c>
      <c r="AB10">
        <f t="shared" si="12"/>
        <v>2.6548672566371683</v>
      </c>
      <c r="AC10">
        <f t="shared" si="13"/>
        <v>6.481481481481481</v>
      </c>
      <c r="AD10">
        <f t="shared" si="14"/>
        <v>4.0816326530612246</v>
      </c>
      <c r="AE10">
        <f t="shared" si="15"/>
        <v>0</v>
      </c>
      <c r="AG10" t="s">
        <v>26</v>
      </c>
      <c r="AH10">
        <f t="shared" si="16"/>
        <v>0</v>
      </c>
      <c r="AI10">
        <f t="shared" si="17"/>
        <v>0</v>
      </c>
      <c r="AJ10">
        <f t="shared" si="18"/>
        <v>2.8571428571428572</v>
      </c>
      <c r="AK10">
        <f t="shared" si="19"/>
        <v>8.5714285714285712</v>
      </c>
      <c r="AL10">
        <f t="shared" si="20"/>
        <v>9.375</v>
      </c>
      <c r="AM10">
        <f t="shared" si="21"/>
        <v>21.875</v>
      </c>
      <c r="AN10">
        <f t="shared" si="22"/>
        <v>12.5</v>
      </c>
      <c r="AO10">
        <f t="shared" si="23"/>
        <v>0</v>
      </c>
    </row>
    <row r="11" spans="1:41" x14ac:dyDescent="0.35">
      <c r="A11" t="s">
        <v>28</v>
      </c>
      <c r="D11">
        <v>3</v>
      </c>
      <c r="E11">
        <v>2</v>
      </c>
      <c r="F11">
        <v>1</v>
      </c>
      <c r="G11">
        <v>3</v>
      </c>
      <c r="H11">
        <v>3</v>
      </c>
      <c r="I11">
        <v>1</v>
      </c>
      <c r="K11" t="s">
        <v>22</v>
      </c>
      <c r="M11" t="s">
        <v>28</v>
      </c>
      <c r="N11">
        <f t="shared" si="0"/>
        <v>0</v>
      </c>
      <c r="O11">
        <f t="shared" si="1"/>
        <v>0</v>
      </c>
      <c r="P11">
        <f t="shared" si="2"/>
        <v>11.111111111111111</v>
      </c>
      <c r="Q11">
        <f t="shared" si="3"/>
        <v>6.8965517241379306</v>
      </c>
      <c r="R11">
        <f t="shared" si="4"/>
        <v>2.9411764705882351</v>
      </c>
      <c r="S11">
        <f t="shared" si="5"/>
        <v>8.8235294117647065</v>
      </c>
      <c r="T11">
        <f t="shared" si="6"/>
        <v>9.67741935483871</v>
      </c>
      <c r="U11">
        <f t="shared" si="7"/>
        <v>4</v>
      </c>
      <c r="W11" t="s">
        <v>28</v>
      </c>
      <c r="X11">
        <f t="shared" si="8"/>
        <v>0</v>
      </c>
      <c r="Y11">
        <f t="shared" si="9"/>
        <v>0</v>
      </c>
      <c r="Z11">
        <f t="shared" si="10"/>
        <v>2.912621359223301</v>
      </c>
      <c r="AA11">
        <f t="shared" si="11"/>
        <v>1.6949152542372881</v>
      </c>
      <c r="AB11">
        <f t="shared" si="12"/>
        <v>0.88495575221238942</v>
      </c>
      <c r="AC11">
        <f t="shared" si="13"/>
        <v>2.7777777777777777</v>
      </c>
      <c r="AD11">
        <f t="shared" si="14"/>
        <v>3.0612244897959182</v>
      </c>
      <c r="AE11">
        <f t="shared" si="15"/>
        <v>1.6666666666666667</v>
      </c>
      <c r="AG11" t="s">
        <v>28</v>
      </c>
      <c r="AH11">
        <f t="shared" si="16"/>
        <v>0</v>
      </c>
      <c r="AI11">
        <f t="shared" si="17"/>
        <v>0</v>
      </c>
      <c r="AJ11">
        <f t="shared" si="18"/>
        <v>8.5714285714285712</v>
      </c>
      <c r="AK11">
        <f t="shared" si="19"/>
        <v>5.7142857142857144</v>
      </c>
      <c r="AL11">
        <f t="shared" si="20"/>
        <v>3.125</v>
      </c>
      <c r="AM11">
        <f t="shared" si="21"/>
        <v>9.375</v>
      </c>
      <c r="AN11">
        <f t="shared" si="22"/>
        <v>9.375</v>
      </c>
      <c r="AO11">
        <f t="shared" si="23"/>
        <v>5.5555555555555554</v>
      </c>
    </row>
    <row r="12" spans="1:41" x14ac:dyDescent="0.35">
      <c r="A12" t="s">
        <v>35</v>
      </c>
      <c r="E12">
        <v>1</v>
      </c>
      <c r="G12">
        <v>1</v>
      </c>
      <c r="H12">
        <v>2</v>
      </c>
      <c r="K12" t="s">
        <v>33</v>
      </c>
      <c r="M12" t="s">
        <v>35</v>
      </c>
      <c r="N12">
        <f t="shared" si="0"/>
        <v>0</v>
      </c>
      <c r="O12">
        <f t="shared" si="1"/>
        <v>0</v>
      </c>
      <c r="P12">
        <f t="shared" si="2"/>
        <v>0</v>
      </c>
      <c r="Q12">
        <f t="shared" si="3"/>
        <v>3.4482758620689653</v>
      </c>
      <c r="R12">
        <f t="shared" si="4"/>
        <v>0</v>
      </c>
      <c r="S12">
        <f t="shared" si="5"/>
        <v>2.9411764705882351</v>
      </c>
      <c r="T12">
        <f t="shared" si="6"/>
        <v>6.4516129032258061</v>
      </c>
      <c r="U12">
        <f t="shared" si="7"/>
        <v>0</v>
      </c>
      <c r="W12" t="s">
        <v>35</v>
      </c>
      <c r="X12">
        <f t="shared" si="8"/>
        <v>0</v>
      </c>
      <c r="Y12">
        <f t="shared" si="9"/>
        <v>0</v>
      </c>
      <c r="Z12">
        <f t="shared" si="10"/>
        <v>0</v>
      </c>
      <c r="AA12">
        <f t="shared" si="11"/>
        <v>0.84745762711864403</v>
      </c>
      <c r="AB12">
        <f t="shared" si="12"/>
        <v>0</v>
      </c>
      <c r="AC12">
        <f t="shared" si="13"/>
        <v>0.92592592592592582</v>
      </c>
      <c r="AD12">
        <f t="shared" si="14"/>
        <v>2.0408163265306123</v>
      </c>
      <c r="AE12">
        <f t="shared" si="15"/>
        <v>0</v>
      </c>
      <c r="AG12" t="s">
        <v>35</v>
      </c>
      <c r="AH12">
        <f t="shared" si="16"/>
        <v>0</v>
      </c>
      <c r="AI12">
        <f t="shared" si="17"/>
        <v>0</v>
      </c>
      <c r="AJ12">
        <f t="shared" si="18"/>
        <v>0</v>
      </c>
      <c r="AK12">
        <f t="shared" si="19"/>
        <v>2.8571428571428572</v>
      </c>
      <c r="AL12">
        <f t="shared" si="20"/>
        <v>0</v>
      </c>
      <c r="AM12">
        <f t="shared" si="21"/>
        <v>3.125</v>
      </c>
      <c r="AN12">
        <f t="shared" si="22"/>
        <v>6.25</v>
      </c>
      <c r="AO12">
        <f t="shared" si="23"/>
        <v>0</v>
      </c>
    </row>
    <row r="13" spans="1:41" x14ac:dyDescent="0.35">
      <c r="A13" t="s">
        <v>48</v>
      </c>
      <c r="I13">
        <v>1</v>
      </c>
      <c r="K13" t="s">
        <v>47</v>
      </c>
      <c r="M13" t="s">
        <v>48</v>
      </c>
      <c r="N13">
        <f t="shared" si="0"/>
        <v>0</v>
      </c>
      <c r="O13">
        <f t="shared" si="1"/>
        <v>0</v>
      </c>
      <c r="P13">
        <f t="shared" si="2"/>
        <v>0</v>
      </c>
      <c r="Q13">
        <f t="shared" si="3"/>
        <v>0</v>
      </c>
      <c r="R13">
        <f t="shared" si="4"/>
        <v>0</v>
      </c>
      <c r="S13">
        <f t="shared" si="5"/>
        <v>0</v>
      </c>
      <c r="T13">
        <f t="shared" si="6"/>
        <v>0</v>
      </c>
      <c r="U13">
        <f t="shared" si="7"/>
        <v>4</v>
      </c>
      <c r="W13" t="s">
        <v>48</v>
      </c>
      <c r="X13">
        <f t="shared" si="8"/>
        <v>0</v>
      </c>
      <c r="Y13">
        <f t="shared" si="9"/>
        <v>0</v>
      </c>
      <c r="Z13">
        <f t="shared" si="10"/>
        <v>0</v>
      </c>
      <c r="AA13">
        <f t="shared" si="11"/>
        <v>0</v>
      </c>
      <c r="AB13">
        <f t="shared" si="12"/>
        <v>0</v>
      </c>
      <c r="AC13">
        <f t="shared" si="13"/>
        <v>0</v>
      </c>
      <c r="AD13">
        <f t="shared" si="14"/>
        <v>0</v>
      </c>
      <c r="AE13">
        <f t="shared" si="15"/>
        <v>1.6666666666666667</v>
      </c>
      <c r="AG13" t="s">
        <v>48</v>
      </c>
      <c r="AH13">
        <f t="shared" si="16"/>
        <v>0</v>
      </c>
      <c r="AI13">
        <f t="shared" si="17"/>
        <v>0</v>
      </c>
      <c r="AJ13">
        <f t="shared" si="18"/>
        <v>0</v>
      </c>
      <c r="AK13">
        <f t="shared" si="19"/>
        <v>0</v>
      </c>
      <c r="AL13">
        <f t="shared" si="20"/>
        <v>0</v>
      </c>
      <c r="AM13">
        <f t="shared" si="21"/>
        <v>0</v>
      </c>
      <c r="AN13">
        <f t="shared" si="22"/>
        <v>0</v>
      </c>
      <c r="AO13">
        <f t="shared" si="23"/>
        <v>5.5555555555555554</v>
      </c>
    </row>
    <row r="14" spans="1:41" x14ac:dyDescent="0.35">
      <c r="A14" t="s">
        <v>34</v>
      </c>
      <c r="E14">
        <v>1</v>
      </c>
      <c r="F14">
        <v>6</v>
      </c>
      <c r="G14">
        <v>10</v>
      </c>
      <c r="H14">
        <v>2</v>
      </c>
      <c r="K14" t="s">
        <v>33</v>
      </c>
      <c r="M14" t="s">
        <v>34</v>
      </c>
      <c r="N14">
        <f t="shared" si="0"/>
        <v>0</v>
      </c>
      <c r="O14">
        <f t="shared" si="1"/>
        <v>0</v>
      </c>
      <c r="P14">
        <f t="shared" si="2"/>
        <v>0</v>
      </c>
      <c r="Q14">
        <f t="shared" si="3"/>
        <v>3.4482758620689653</v>
      </c>
      <c r="R14">
        <f t="shared" si="4"/>
        <v>17.647058823529413</v>
      </c>
      <c r="S14">
        <f t="shared" si="5"/>
        <v>29.411764705882355</v>
      </c>
      <c r="T14">
        <f t="shared" si="6"/>
        <v>6.4516129032258061</v>
      </c>
      <c r="U14">
        <f t="shared" si="7"/>
        <v>0</v>
      </c>
      <c r="W14" t="s">
        <v>34</v>
      </c>
      <c r="X14">
        <f t="shared" si="8"/>
        <v>0</v>
      </c>
      <c r="Y14">
        <f t="shared" si="9"/>
        <v>0</v>
      </c>
      <c r="Z14">
        <f t="shared" si="10"/>
        <v>0</v>
      </c>
      <c r="AA14">
        <f t="shared" si="11"/>
        <v>0.84745762711864403</v>
      </c>
      <c r="AB14">
        <f t="shared" si="12"/>
        <v>5.3097345132743365</v>
      </c>
      <c r="AC14">
        <f t="shared" si="13"/>
        <v>9.2592592592592595</v>
      </c>
      <c r="AD14">
        <f t="shared" si="14"/>
        <v>2.0408163265306123</v>
      </c>
      <c r="AE14">
        <f t="shared" si="15"/>
        <v>0</v>
      </c>
      <c r="AG14" t="s">
        <v>34</v>
      </c>
      <c r="AH14">
        <f t="shared" si="16"/>
        <v>0</v>
      </c>
      <c r="AI14">
        <f t="shared" si="17"/>
        <v>0</v>
      </c>
      <c r="AJ14">
        <f t="shared" si="18"/>
        <v>0</v>
      </c>
      <c r="AK14">
        <f t="shared" si="19"/>
        <v>2.8571428571428572</v>
      </c>
      <c r="AL14">
        <f t="shared" si="20"/>
        <v>18.75</v>
      </c>
      <c r="AM14">
        <f t="shared" si="21"/>
        <v>31.25</v>
      </c>
      <c r="AN14">
        <f t="shared" si="22"/>
        <v>6.25</v>
      </c>
      <c r="AO14">
        <f t="shared" si="23"/>
        <v>0</v>
      </c>
    </row>
    <row r="15" spans="1:41" x14ac:dyDescent="0.35">
      <c r="A15" t="s">
        <v>18</v>
      </c>
      <c r="C15">
        <v>3</v>
      </c>
      <c r="D15">
        <v>2</v>
      </c>
      <c r="E15">
        <v>5</v>
      </c>
      <c r="F15">
        <v>3</v>
      </c>
      <c r="G15">
        <v>4</v>
      </c>
      <c r="H15">
        <v>6</v>
      </c>
      <c r="I15">
        <v>3</v>
      </c>
      <c r="K15" t="s">
        <v>17</v>
      </c>
      <c r="M15" t="s">
        <v>18</v>
      </c>
      <c r="N15">
        <f t="shared" si="0"/>
        <v>0</v>
      </c>
      <c r="O15">
        <f t="shared" si="1"/>
        <v>20</v>
      </c>
      <c r="P15">
        <f t="shared" si="2"/>
        <v>7.4074074074074066</v>
      </c>
      <c r="Q15">
        <f t="shared" si="3"/>
        <v>17.241379310344829</v>
      </c>
      <c r="R15">
        <f t="shared" si="4"/>
        <v>8.8235294117647065</v>
      </c>
      <c r="S15">
        <f t="shared" si="5"/>
        <v>11.76470588235294</v>
      </c>
      <c r="T15">
        <f t="shared" si="6"/>
        <v>19.35483870967742</v>
      </c>
      <c r="U15">
        <f t="shared" si="7"/>
        <v>12</v>
      </c>
      <c r="W15" t="s">
        <v>18</v>
      </c>
      <c r="X15">
        <f t="shared" si="8"/>
        <v>0</v>
      </c>
      <c r="Y15">
        <f t="shared" si="9"/>
        <v>6.1224489795918364</v>
      </c>
      <c r="Z15">
        <f t="shared" si="10"/>
        <v>1.9417475728155338</v>
      </c>
      <c r="AA15">
        <f t="shared" si="11"/>
        <v>4.2372881355932197</v>
      </c>
      <c r="AB15">
        <f t="shared" si="12"/>
        <v>2.6548672566371683</v>
      </c>
      <c r="AC15">
        <f t="shared" si="13"/>
        <v>3.7037037037037033</v>
      </c>
      <c r="AD15">
        <f t="shared" si="14"/>
        <v>6.1224489795918364</v>
      </c>
      <c r="AE15">
        <f t="shared" si="15"/>
        <v>5</v>
      </c>
      <c r="AG15" t="s">
        <v>18</v>
      </c>
      <c r="AH15">
        <f t="shared" si="16"/>
        <v>0</v>
      </c>
      <c r="AI15">
        <f t="shared" si="17"/>
        <v>13.043478260869565</v>
      </c>
      <c r="AJ15">
        <f t="shared" si="18"/>
        <v>5.7142857142857144</v>
      </c>
      <c r="AK15">
        <f t="shared" si="19"/>
        <v>14.285714285714285</v>
      </c>
      <c r="AL15">
        <f t="shared" si="20"/>
        <v>9.375</v>
      </c>
      <c r="AM15">
        <f t="shared" si="21"/>
        <v>12.5</v>
      </c>
      <c r="AN15">
        <f t="shared" si="22"/>
        <v>18.75</v>
      </c>
      <c r="AO15">
        <f t="shared" si="23"/>
        <v>16.666666666666664</v>
      </c>
    </row>
    <row r="16" spans="1:41" x14ac:dyDescent="0.35">
      <c r="A16" t="s">
        <v>14</v>
      </c>
      <c r="B16">
        <v>1</v>
      </c>
      <c r="C16">
        <v>7</v>
      </c>
      <c r="D16">
        <v>5</v>
      </c>
      <c r="E16">
        <v>11</v>
      </c>
      <c r="F16">
        <v>7</v>
      </c>
      <c r="G16">
        <v>6</v>
      </c>
      <c r="H16">
        <v>1</v>
      </c>
      <c r="K16" t="s">
        <v>0</v>
      </c>
      <c r="M16" t="s">
        <v>14</v>
      </c>
      <c r="N16">
        <f t="shared" si="0"/>
        <v>5.8823529411764701</v>
      </c>
      <c r="O16">
        <f t="shared" si="1"/>
        <v>46.666666666666664</v>
      </c>
      <c r="P16">
        <f t="shared" si="2"/>
        <v>18.518518518518519</v>
      </c>
      <c r="Q16">
        <f t="shared" si="3"/>
        <v>37.931034482758619</v>
      </c>
      <c r="R16">
        <f t="shared" si="4"/>
        <v>20.588235294117645</v>
      </c>
      <c r="S16">
        <f t="shared" si="5"/>
        <v>17.647058823529413</v>
      </c>
      <c r="T16">
        <f t="shared" si="6"/>
        <v>3.225806451612903</v>
      </c>
      <c r="U16">
        <f t="shared" si="7"/>
        <v>0</v>
      </c>
      <c r="W16" t="s">
        <v>14</v>
      </c>
      <c r="X16">
        <f t="shared" si="8"/>
        <v>3.125</v>
      </c>
      <c r="Y16">
        <f t="shared" si="9"/>
        <v>14.285714285714285</v>
      </c>
      <c r="Z16">
        <f t="shared" si="10"/>
        <v>4.8543689320388346</v>
      </c>
      <c r="AA16">
        <f t="shared" si="11"/>
        <v>9.3220338983050848</v>
      </c>
      <c r="AB16">
        <f t="shared" si="12"/>
        <v>6.1946902654867255</v>
      </c>
      <c r="AC16">
        <f t="shared" si="13"/>
        <v>5.5555555555555554</v>
      </c>
      <c r="AD16">
        <f t="shared" si="14"/>
        <v>1.0204081632653061</v>
      </c>
      <c r="AE16">
        <f t="shared" si="15"/>
        <v>0</v>
      </c>
      <c r="AG16" t="s">
        <v>14</v>
      </c>
      <c r="AH16">
        <f t="shared" si="16"/>
        <v>7.6923076923076925</v>
      </c>
      <c r="AI16">
        <f t="shared" si="17"/>
        <v>30.434782608695656</v>
      </c>
      <c r="AJ16">
        <f t="shared" si="18"/>
        <v>14.285714285714285</v>
      </c>
      <c r="AK16">
        <f t="shared" si="19"/>
        <v>31.428571428571427</v>
      </c>
      <c r="AL16">
        <f t="shared" si="20"/>
        <v>21.875</v>
      </c>
      <c r="AM16">
        <f t="shared" si="21"/>
        <v>18.75</v>
      </c>
      <c r="AN16">
        <f t="shared" si="22"/>
        <v>3.125</v>
      </c>
      <c r="AO16">
        <f t="shared" si="23"/>
        <v>0</v>
      </c>
    </row>
    <row r="17" spans="1:41" x14ac:dyDescent="0.35">
      <c r="A17" t="s">
        <v>9</v>
      </c>
      <c r="B17">
        <v>2</v>
      </c>
      <c r="C17">
        <v>3</v>
      </c>
      <c r="D17">
        <v>2</v>
      </c>
      <c r="E17">
        <v>2</v>
      </c>
      <c r="F17">
        <v>2</v>
      </c>
      <c r="G17">
        <v>3</v>
      </c>
      <c r="H17">
        <v>5</v>
      </c>
      <c r="I17">
        <v>2</v>
      </c>
      <c r="J17" t="s">
        <v>56</v>
      </c>
      <c r="K17" t="s">
        <v>0</v>
      </c>
      <c r="M17" t="s">
        <v>9</v>
      </c>
      <c r="N17">
        <f t="shared" si="0"/>
        <v>11.76470588235294</v>
      </c>
      <c r="O17">
        <f t="shared" si="1"/>
        <v>20</v>
      </c>
      <c r="P17">
        <f t="shared" si="2"/>
        <v>7.4074074074074066</v>
      </c>
      <c r="Q17">
        <f t="shared" si="3"/>
        <v>6.8965517241379306</v>
      </c>
      <c r="R17">
        <f t="shared" si="4"/>
        <v>5.8823529411764701</v>
      </c>
      <c r="S17">
        <f t="shared" si="5"/>
        <v>8.8235294117647065</v>
      </c>
      <c r="T17">
        <f t="shared" si="6"/>
        <v>16.129032258064516</v>
      </c>
      <c r="U17">
        <f t="shared" si="7"/>
        <v>8</v>
      </c>
      <c r="W17" t="s">
        <v>9</v>
      </c>
      <c r="X17">
        <f t="shared" si="8"/>
        <v>6.25</v>
      </c>
      <c r="Y17">
        <f t="shared" si="9"/>
        <v>6.1224489795918364</v>
      </c>
      <c r="Z17">
        <f t="shared" si="10"/>
        <v>1.9417475728155338</v>
      </c>
      <c r="AA17">
        <f t="shared" si="11"/>
        <v>1.6949152542372881</v>
      </c>
      <c r="AB17">
        <f t="shared" si="12"/>
        <v>1.7699115044247788</v>
      </c>
      <c r="AC17">
        <f t="shared" si="13"/>
        <v>2.7777777777777777</v>
      </c>
      <c r="AD17">
        <f t="shared" si="14"/>
        <v>5.1020408163265305</v>
      </c>
      <c r="AE17">
        <f t="shared" si="15"/>
        <v>3.3333333333333335</v>
      </c>
      <c r="AG17" t="s">
        <v>9</v>
      </c>
      <c r="AH17">
        <f t="shared" si="16"/>
        <v>15.384615384615385</v>
      </c>
      <c r="AI17">
        <f t="shared" si="17"/>
        <v>13.043478260869565</v>
      </c>
      <c r="AJ17">
        <f t="shared" si="18"/>
        <v>5.7142857142857144</v>
      </c>
      <c r="AK17">
        <f t="shared" si="19"/>
        <v>5.7142857142857144</v>
      </c>
      <c r="AL17">
        <f t="shared" si="20"/>
        <v>6.25</v>
      </c>
      <c r="AM17">
        <f t="shared" si="21"/>
        <v>9.375</v>
      </c>
      <c r="AN17">
        <f t="shared" si="22"/>
        <v>15.625</v>
      </c>
      <c r="AO17">
        <f t="shared" si="23"/>
        <v>11.111111111111111</v>
      </c>
    </row>
    <row r="18" spans="1:41" x14ac:dyDescent="0.35">
      <c r="A18" t="s">
        <v>2</v>
      </c>
      <c r="B18">
        <v>1</v>
      </c>
      <c r="C18">
        <v>2</v>
      </c>
      <c r="D18">
        <v>4</v>
      </c>
      <c r="E18">
        <v>4</v>
      </c>
      <c r="F18">
        <v>3</v>
      </c>
      <c r="G18">
        <v>1</v>
      </c>
      <c r="H18">
        <v>3</v>
      </c>
      <c r="I18">
        <v>1</v>
      </c>
      <c r="J18" t="s">
        <v>56</v>
      </c>
      <c r="K18" t="s">
        <v>0</v>
      </c>
      <c r="M18" t="s">
        <v>2</v>
      </c>
      <c r="N18">
        <f t="shared" si="0"/>
        <v>5.8823529411764701</v>
      </c>
      <c r="O18">
        <f t="shared" si="1"/>
        <v>13.333333333333334</v>
      </c>
      <c r="P18">
        <f t="shared" si="2"/>
        <v>14.814814814814813</v>
      </c>
      <c r="Q18">
        <f t="shared" si="3"/>
        <v>13.793103448275861</v>
      </c>
      <c r="R18">
        <f t="shared" si="4"/>
        <v>8.8235294117647065</v>
      </c>
      <c r="S18">
        <f t="shared" si="5"/>
        <v>2.9411764705882351</v>
      </c>
      <c r="T18">
        <f t="shared" si="6"/>
        <v>9.67741935483871</v>
      </c>
      <c r="U18">
        <f t="shared" si="7"/>
        <v>4</v>
      </c>
      <c r="W18" t="s">
        <v>2</v>
      </c>
      <c r="X18">
        <f t="shared" si="8"/>
        <v>3.125</v>
      </c>
      <c r="Y18">
        <f t="shared" si="9"/>
        <v>4.0816326530612246</v>
      </c>
      <c r="Z18">
        <f t="shared" si="10"/>
        <v>3.8834951456310676</v>
      </c>
      <c r="AA18">
        <f t="shared" si="11"/>
        <v>3.3898305084745761</v>
      </c>
      <c r="AB18">
        <f t="shared" si="12"/>
        <v>2.6548672566371683</v>
      </c>
      <c r="AC18">
        <f t="shared" si="13"/>
        <v>0.92592592592592582</v>
      </c>
      <c r="AD18">
        <f t="shared" si="14"/>
        <v>3.0612244897959182</v>
      </c>
      <c r="AE18">
        <f t="shared" si="15"/>
        <v>1.6666666666666667</v>
      </c>
      <c r="AG18" t="s">
        <v>2</v>
      </c>
      <c r="AH18">
        <f t="shared" si="16"/>
        <v>7.6923076923076925</v>
      </c>
      <c r="AI18">
        <f t="shared" si="17"/>
        <v>8.695652173913043</v>
      </c>
      <c r="AJ18">
        <f t="shared" si="18"/>
        <v>11.428571428571429</v>
      </c>
      <c r="AK18">
        <f t="shared" si="19"/>
        <v>11.428571428571429</v>
      </c>
      <c r="AL18">
        <f t="shared" si="20"/>
        <v>9.375</v>
      </c>
      <c r="AM18">
        <f t="shared" si="21"/>
        <v>3.125</v>
      </c>
      <c r="AN18">
        <f t="shared" si="22"/>
        <v>9.375</v>
      </c>
      <c r="AO18">
        <f t="shared" si="23"/>
        <v>5.5555555555555554</v>
      </c>
    </row>
    <row r="19" spans="1:41" x14ac:dyDescent="0.35">
      <c r="A19" t="s">
        <v>52</v>
      </c>
      <c r="I19">
        <v>4</v>
      </c>
      <c r="K19" t="s">
        <v>47</v>
      </c>
      <c r="M19" t="s">
        <v>52</v>
      </c>
      <c r="N19">
        <f t="shared" si="0"/>
        <v>0</v>
      </c>
      <c r="O19">
        <f t="shared" si="1"/>
        <v>0</v>
      </c>
      <c r="P19">
        <f t="shared" si="2"/>
        <v>0</v>
      </c>
      <c r="Q19">
        <f t="shared" si="3"/>
        <v>0</v>
      </c>
      <c r="R19">
        <f t="shared" si="4"/>
        <v>0</v>
      </c>
      <c r="S19">
        <f t="shared" si="5"/>
        <v>0</v>
      </c>
      <c r="T19">
        <f t="shared" si="6"/>
        <v>0</v>
      </c>
      <c r="U19">
        <f t="shared" si="7"/>
        <v>16</v>
      </c>
      <c r="W19" t="s">
        <v>52</v>
      </c>
      <c r="X19">
        <f t="shared" si="8"/>
        <v>0</v>
      </c>
      <c r="Y19">
        <f t="shared" si="9"/>
        <v>0</v>
      </c>
      <c r="Z19">
        <f t="shared" si="10"/>
        <v>0</v>
      </c>
      <c r="AA19">
        <f t="shared" si="11"/>
        <v>0</v>
      </c>
      <c r="AB19">
        <f t="shared" si="12"/>
        <v>0</v>
      </c>
      <c r="AC19">
        <f t="shared" si="13"/>
        <v>0</v>
      </c>
      <c r="AD19">
        <f t="shared" si="14"/>
        <v>0</v>
      </c>
      <c r="AE19">
        <f t="shared" si="15"/>
        <v>6.666666666666667</v>
      </c>
      <c r="AG19" t="s">
        <v>52</v>
      </c>
      <c r="AH19">
        <f t="shared" si="16"/>
        <v>0</v>
      </c>
      <c r="AI19">
        <f t="shared" si="17"/>
        <v>0</v>
      </c>
      <c r="AJ19">
        <f t="shared" si="18"/>
        <v>0</v>
      </c>
      <c r="AK19">
        <f t="shared" si="19"/>
        <v>0</v>
      </c>
      <c r="AL19">
        <f t="shared" si="20"/>
        <v>0</v>
      </c>
      <c r="AM19">
        <f t="shared" si="21"/>
        <v>0</v>
      </c>
      <c r="AN19">
        <f t="shared" si="22"/>
        <v>0</v>
      </c>
      <c r="AO19">
        <f t="shared" si="23"/>
        <v>22.222222222222221</v>
      </c>
    </row>
    <row r="20" spans="1:41" x14ac:dyDescent="0.35">
      <c r="A20" t="s">
        <v>46</v>
      </c>
      <c r="H20">
        <v>2</v>
      </c>
      <c r="I20">
        <v>2</v>
      </c>
      <c r="K20" t="s">
        <v>45</v>
      </c>
      <c r="M20" t="s">
        <v>46</v>
      </c>
      <c r="N20">
        <f t="shared" si="0"/>
        <v>0</v>
      </c>
      <c r="O20">
        <f t="shared" si="1"/>
        <v>0</v>
      </c>
      <c r="P20">
        <f t="shared" si="2"/>
        <v>0</v>
      </c>
      <c r="Q20">
        <f t="shared" si="3"/>
        <v>0</v>
      </c>
      <c r="R20">
        <f t="shared" si="4"/>
        <v>0</v>
      </c>
      <c r="S20">
        <f t="shared" si="5"/>
        <v>0</v>
      </c>
      <c r="T20">
        <f t="shared" si="6"/>
        <v>6.4516129032258061</v>
      </c>
      <c r="U20">
        <f t="shared" si="7"/>
        <v>8</v>
      </c>
      <c r="W20" t="s">
        <v>46</v>
      </c>
      <c r="X20">
        <f t="shared" si="8"/>
        <v>0</v>
      </c>
      <c r="Y20">
        <f t="shared" si="9"/>
        <v>0</v>
      </c>
      <c r="Z20">
        <f t="shared" si="10"/>
        <v>0</v>
      </c>
      <c r="AA20">
        <f t="shared" si="11"/>
        <v>0</v>
      </c>
      <c r="AB20">
        <f t="shared" si="12"/>
        <v>0</v>
      </c>
      <c r="AC20">
        <f t="shared" si="13"/>
        <v>0</v>
      </c>
      <c r="AD20">
        <f t="shared" si="14"/>
        <v>2.0408163265306123</v>
      </c>
      <c r="AE20">
        <f t="shared" si="15"/>
        <v>3.3333333333333335</v>
      </c>
      <c r="AG20" t="s">
        <v>46</v>
      </c>
      <c r="AH20">
        <f t="shared" si="16"/>
        <v>0</v>
      </c>
      <c r="AI20">
        <f t="shared" si="17"/>
        <v>0</v>
      </c>
      <c r="AJ20">
        <f t="shared" si="18"/>
        <v>0</v>
      </c>
      <c r="AK20">
        <f t="shared" si="19"/>
        <v>0</v>
      </c>
      <c r="AL20">
        <f t="shared" si="20"/>
        <v>0</v>
      </c>
      <c r="AM20">
        <f t="shared" si="21"/>
        <v>0</v>
      </c>
      <c r="AN20">
        <f t="shared" si="22"/>
        <v>6.25</v>
      </c>
      <c r="AO20">
        <f t="shared" si="23"/>
        <v>11.111111111111111</v>
      </c>
    </row>
    <row r="21" spans="1:41" x14ac:dyDescent="0.35">
      <c r="A21" t="s">
        <v>6</v>
      </c>
      <c r="B21">
        <v>2</v>
      </c>
      <c r="D21">
        <v>6</v>
      </c>
      <c r="E21">
        <v>8</v>
      </c>
      <c r="F21">
        <v>5</v>
      </c>
      <c r="G21">
        <v>8</v>
      </c>
      <c r="H21">
        <v>10</v>
      </c>
      <c r="I21">
        <v>3</v>
      </c>
      <c r="K21" t="s">
        <v>0</v>
      </c>
      <c r="M21" t="s">
        <v>6</v>
      </c>
      <c r="N21">
        <f t="shared" si="0"/>
        <v>11.76470588235294</v>
      </c>
      <c r="O21">
        <f t="shared" si="1"/>
        <v>0</v>
      </c>
      <c r="P21">
        <f t="shared" si="2"/>
        <v>22.222222222222221</v>
      </c>
      <c r="Q21">
        <f t="shared" si="3"/>
        <v>27.586206896551722</v>
      </c>
      <c r="R21">
        <f t="shared" si="4"/>
        <v>14.705882352941178</v>
      </c>
      <c r="S21">
        <f t="shared" si="5"/>
        <v>23.52941176470588</v>
      </c>
      <c r="T21">
        <f t="shared" si="6"/>
        <v>32.258064516129032</v>
      </c>
      <c r="U21">
        <f t="shared" si="7"/>
        <v>12</v>
      </c>
      <c r="W21" t="s">
        <v>6</v>
      </c>
      <c r="X21">
        <f t="shared" si="8"/>
        <v>6.25</v>
      </c>
      <c r="Y21">
        <f t="shared" si="9"/>
        <v>0</v>
      </c>
      <c r="Z21">
        <f t="shared" si="10"/>
        <v>5.825242718446602</v>
      </c>
      <c r="AA21">
        <f t="shared" si="11"/>
        <v>6.7796610169491522</v>
      </c>
      <c r="AB21">
        <f t="shared" si="12"/>
        <v>4.4247787610619467</v>
      </c>
      <c r="AC21">
        <f t="shared" si="13"/>
        <v>7.4074074074074066</v>
      </c>
      <c r="AD21">
        <f t="shared" si="14"/>
        <v>10.204081632653061</v>
      </c>
      <c r="AE21">
        <f t="shared" si="15"/>
        <v>5</v>
      </c>
      <c r="AG21" t="s">
        <v>6</v>
      </c>
      <c r="AH21">
        <f t="shared" si="16"/>
        <v>15.384615384615385</v>
      </c>
      <c r="AI21">
        <f t="shared" si="17"/>
        <v>0</v>
      </c>
      <c r="AJ21">
        <f t="shared" si="18"/>
        <v>17.142857142857142</v>
      </c>
      <c r="AK21">
        <f t="shared" si="19"/>
        <v>22.857142857142858</v>
      </c>
      <c r="AL21">
        <f t="shared" si="20"/>
        <v>15.625</v>
      </c>
      <c r="AM21">
        <f t="shared" si="21"/>
        <v>25</v>
      </c>
      <c r="AN21">
        <f t="shared" si="22"/>
        <v>31.25</v>
      </c>
      <c r="AO21">
        <f t="shared" si="23"/>
        <v>16.666666666666664</v>
      </c>
    </row>
    <row r="22" spans="1:41" x14ac:dyDescent="0.35">
      <c r="A22" t="s">
        <v>31</v>
      </c>
      <c r="D22">
        <v>3</v>
      </c>
      <c r="E22">
        <v>3</v>
      </c>
      <c r="F22">
        <v>1</v>
      </c>
      <c r="G22">
        <v>1</v>
      </c>
      <c r="H22">
        <v>2</v>
      </c>
      <c r="K22" t="s">
        <v>22</v>
      </c>
      <c r="M22" t="s">
        <v>31</v>
      </c>
      <c r="N22">
        <f t="shared" si="0"/>
        <v>0</v>
      </c>
      <c r="O22">
        <f t="shared" si="1"/>
        <v>0</v>
      </c>
      <c r="P22">
        <f t="shared" si="2"/>
        <v>11.111111111111111</v>
      </c>
      <c r="Q22">
        <f t="shared" si="3"/>
        <v>10.344827586206897</v>
      </c>
      <c r="R22">
        <f t="shared" si="4"/>
        <v>2.9411764705882351</v>
      </c>
      <c r="S22">
        <f t="shared" si="5"/>
        <v>2.9411764705882351</v>
      </c>
      <c r="T22">
        <f t="shared" si="6"/>
        <v>6.4516129032258061</v>
      </c>
      <c r="U22">
        <f t="shared" si="7"/>
        <v>0</v>
      </c>
      <c r="W22" t="s">
        <v>31</v>
      </c>
      <c r="X22">
        <f t="shared" si="8"/>
        <v>0</v>
      </c>
      <c r="Y22">
        <f t="shared" si="9"/>
        <v>0</v>
      </c>
      <c r="Z22">
        <f t="shared" si="10"/>
        <v>2.912621359223301</v>
      </c>
      <c r="AA22">
        <f t="shared" si="11"/>
        <v>2.5423728813559325</v>
      </c>
      <c r="AB22">
        <f t="shared" si="12"/>
        <v>0.88495575221238942</v>
      </c>
      <c r="AC22">
        <f t="shared" si="13"/>
        <v>0.92592592592592582</v>
      </c>
      <c r="AD22">
        <f t="shared" si="14"/>
        <v>2.0408163265306123</v>
      </c>
      <c r="AE22">
        <f t="shared" si="15"/>
        <v>0</v>
      </c>
      <c r="AG22" t="s">
        <v>31</v>
      </c>
      <c r="AH22">
        <f t="shared" si="16"/>
        <v>0</v>
      </c>
      <c r="AI22">
        <f t="shared" si="17"/>
        <v>0</v>
      </c>
      <c r="AJ22">
        <f t="shared" si="18"/>
        <v>8.5714285714285712</v>
      </c>
      <c r="AK22">
        <f t="shared" si="19"/>
        <v>8.5714285714285712</v>
      </c>
      <c r="AL22">
        <f t="shared" si="20"/>
        <v>3.125</v>
      </c>
      <c r="AM22">
        <f t="shared" si="21"/>
        <v>3.125</v>
      </c>
      <c r="AN22">
        <f t="shared" si="22"/>
        <v>6.25</v>
      </c>
      <c r="AO22">
        <f t="shared" si="23"/>
        <v>0</v>
      </c>
    </row>
    <row r="23" spans="1:41" x14ac:dyDescent="0.35">
      <c r="A23" t="s">
        <v>13</v>
      </c>
      <c r="B23">
        <v>1</v>
      </c>
      <c r="D23">
        <v>6</v>
      </c>
      <c r="E23">
        <v>3</v>
      </c>
      <c r="F23">
        <v>6</v>
      </c>
      <c r="G23">
        <v>2</v>
      </c>
      <c r="H23">
        <v>4</v>
      </c>
      <c r="I23">
        <v>2</v>
      </c>
      <c r="K23" t="s">
        <v>0</v>
      </c>
      <c r="M23" t="s">
        <v>13</v>
      </c>
      <c r="N23">
        <f t="shared" si="0"/>
        <v>5.8823529411764701</v>
      </c>
      <c r="O23">
        <f t="shared" si="1"/>
        <v>0</v>
      </c>
      <c r="P23">
        <f t="shared" si="2"/>
        <v>22.222222222222221</v>
      </c>
      <c r="Q23">
        <f t="shared" si="3"/>
        <v>10.344827586206897</v>
      </c>
      <c r="R23">
        <f t="shared" si="4"/>
        <v>17.647058823529413</v>
      </c>
      <c r="S23">
        <f t="shared" si="5"/>
        <v>5.8823529411764701</v>
      </c>
      <c r="T23">
        <f t="shared" si="6"/>
        <v>12.903225806451612</v>
      </c>
      <c r="U23">
        <f t="shared" si="7"/>
        <v>8</v>
      </c>
      <c r="W23" t="s">
        <v>13</v>
      </c>
      <c r="X23">
        <f t="shared" si="8"/>
        <v>3.125</v>
      </c>
      <c r="Y23">
        <f t="shared" si="9"/>
        <v>0</v>
      </c>
      <c r="Z23">
        <f t="shared" si="10"/>
        <v>5.825242718446602</v>
      </c>
      <c r="AA23">
        <f t="shared" si="11"/>
        <v>2.5423728813559325</v>
      </c>
      <c r="AB23">
        <f t="shared" si="12"/>
        <v>5.3097345132743365</v>
      </c>
      <c r="AC23">
        <f t="shared" si="13"/>
        <v>1.8518518518518516</v>
      </c>
      <c r="AD23">
        <f t="shared" si="14"/>
        <v>4.0816326530612246</v>
      </c>
      <c r="AE23">
        <f t="shared" si="15"/>
        <v>3.3333333333333335</v>
      </c>
      <c r="AG23" t="s">
        <v>13</v>
      </c>
      <c r="AH23">
        <f t="shared" si="16"/>
        <v>7.6923076923076925</v>
      </c>
      <c r="AI23">
        <f t="shared" si="17"/>
        <v>0</v>
      </c>
      <c r="AJ23">
        <f t="shared" si="18"/>
        <v>17.142857142857142</v>
      </c>
      <c r="AK23">
        <f t="shared" si="19"/>
        <v>8.5714285714285712</v>
      </c>
      <c r="AL23">
        <f t="shared" si="20"/>
        <v>18.75</v>
      </c>
      <c r="AM23">
        <f t="shared" si="21"/>
        <v>6.25</v>
      </c>
      <c r="AN23">
        <f t="shared" si="22"/>
        <v>12.5</v>
      </c>
      <c r="AO23">
        <f t="shared" si="23"/>
        <v>11.111111111111111</v>
      </c>
    </row>
    <row r="24" spans="1:41" x14ac:dyDescent="0.35">
      <c r="A24" t="s">
        <v>39</v>
      </c>
      <c r="E24">
        <v>1</v>
      </c>
      <c r="G24">
        <v>2</v>
      </c>
      <c r="I24">
        <v>1</v>
      </c>
      <c r="K24" t="s">
        <v>33</v>
      </c>
      <c r="M24" t="s">
        <v>39</v>
      </c>
      <c r="N24">
        <f t="shared" si="0"/>
        <v>0</v>
      </c>
      <c r="O24">
        <f t="shared" si="1"/>
        <v>0</v>
      </c>
      <c r="P24">
        <f t="shared" si="2"/>
        <v>0</v>
      </c>
      <c r="Q24">
        <f t="shared" si="3"/>
        <v>3.4482758620689653</v>
      </c>
      <c r="R24">
        <f t="shared" si="4"/>
        <v>0</v>
      </c>
      <c r="S24">
        <f t="shared" si="5"/>
        <v>5.8823529411764701</v>
      </c>
      <c r="T24">
        <f t="shared" si="6"/>
        <v>0</v>
      </c>
      <c r="U24">
        <f t="shared" si="7"/>
        <v>4</v>
      </c>
      <c r="W24" t="s">
        <v>39</v>
      </c>
      <c r="X24">
        <f t="shared" si="8"/>
        <v>0</v>
      </c>
      <c r="Y24">
        <f t="shared" si="9"/>
        <v>0</v>
      </c>
      <c r="Z24">
        <f t="shared" si="10"/>
        <v>0</v>
      </c>
      <c r="AA24">
        <f t="shared" si="11"/>
        <v>0.84745762711864403</v>
      </c>
      <c r="AB24">
        <f t="shared" si="12"/>
        <v>0</v>
      </c>
      <c r="AC24">
        <f t="shared" si="13"/>
        <v>1.8518518518518516</v>
      </c>
      <c r="AD24">
        <f t="shared" si="14"/>
        <v>0</v>
      </c>
      <c r="AE24">
        <f t="shared" si="15"/>
        <v>1.6666666666666667</v>
      </c>
      <c r="AG24" t="s">
        <v>39</v>
      </c>
      <c r="AH24">
        <f t="shared" si="16"/>
        <v>0</v>
      </c>
      <c r="AI24">
        <f t="shared" si="17"/>
        <v>0</v>
      </c>
      <c r="AJ24">
        <f t="shared" si="18"/>
        <v>0</v>
      </c>
      <c r="AK24">
        <f t="shared" si="19"/>
        <v>2.8571428571428572</v>
      </c>
      <c r="AL24">
        <f t="shared" si="20"/>
        <v>0</v>
      </c>
      <c r="AM24">
        <f t="shared" si="21"/>
        <v>6.25</v>
      </c>
      <c r="AN24">
        <f t="shared" si="22"/>
        <v>0</v>
      </c>
      <c r="AO24">
        <f t="shared" si="23"/>
        <v>5.5555555555555554</v>
      </c>
    </row>
    <row r="25" spans="1:41" x14ac:dyDescent="0.35">
      <c r="A25" t="s">
        <v>3</v>
      </c>
      <c r="B25">
        <v>4</v>
      </c>
      <c r="C25">
        <v>4</v>
      </c>
      <c r="D25">
        <v>4</v>
      </c>
      <c r="E25">
        <v>3</v>
      </c>
      <c r="F25">
        <v>2</v>
      </c>
      <c r="G25">
        <v>1</v>
      </c>
      <c r="K25" t="s">
        <v>0</v>
      </c>
      <c r="M25" t="s">
        <v>3</v>
      </c>
      <c r="N25">
        <f t="shared" si="0"/>
        <v>23.52941176470588</v>
      </c>
      <c r="O25">
        <f t="shared" si="1"/>
        <v>26.666666666666668</v>
      </c>
      <c r="P25">
        <f t="shared" si="2"/>
        <v>14.814814814814813</v>
      </c>
      <c r="Q25">
        <f t="shared" si="3"/>
        <v>10.344827586206897</v>
      </c>
      <c r="R25">
        <f t="shared" si="4"/>
        <v>5.8823529411764701</v>
      </c>
      <c r="S25">
        <f t="shared" si="5"/>
        <v>2.9411764705882351</v>
      </c>
      <c r="T25">
        <f t="shared" si="6"/>
        <v>0</v>
      </c>
      <c r="U25">
        <f t="shared" si="7"/>
        <v>0</v>
      </c>
      <c r="W25" t="s">
        <v>3</v>
      </c>
      <c r="X25">
        <f t="shared" si="8"/>
        <v>12.5</v>
      </c>
      <c r="Y25">
        <f t="shared" si="9"/>
        <v>8.1632653061224492</v>
      </c>
      <c r="Z25">
        <f t="shared" si="10"/>
        <v>3.8834951456310676</v>
      </c>
      <c r="AA25">
        <f t="shared" si="11"/>
        <v>2.5423728813559325</v>
      </c>
      <c r="AB25">
        <f t="shared" si="12"/>
        <v>1.7699115044247788</v>
      </c>
      <c r="AC25">
        <f t="shared" si="13"/>
        <v>0.92592592592592582</v>
      </c>
      <c r="AD25">
        <f t="shared" si="14"/>
        <v>0</v>
      </c>
      <c r="AE25">
        <f t="shared" si="15"/>
        <v>0</v>
      </c>
      <c r="AG25" t="s">
        <v>3</v>
      </c>
      <c r="AH25">
        <f t="shared" si="16"/>
        <v>30.76923076923077</v>
      </c>
      <c r="AI25">
        <f t="shared" si="17"/>
        <v>17.391304347826086</v>
      </c>
      <c r="AJ25">
        <f t="shared" si="18"/>
        <v>11.428571428571429</v>
      </c>
      <c r="AK25">
        <f t="shared" si="19"/>
        <v>8.5714285714285712</v>
      </c>
      <c r="AL25">
        <f t="shared" si="20"/>
        <v>6.25</v>
      </c>
      <c r="AM25">
        <f t="shared" si="21"/>
        <v>3.125</v>
      </c>
      <c r="AN25">
        <f t="shared" si="22"/>
        <v>0</v>
      </c>
      <c r="AO25">
        <f t="shared" si="23"/>
        <v>0</v>
      </c>
    </row>
    <row r="26" spans="1:41" x14ac:dyDescent="0.35">
      <c r="A26" t="s">
        <v>38</v>
      </c>
      <c r="G26">
        <v>2</v>
      </c>
      <c r="H26">
        <v>3</v>
      </c>
      <c r="K26" t="s">
        <v>42</v>
      </c>
      <c r="M26" t="s">
        <v>38</v>
      </c>
      <c r="N26">
        <f t="shared" si="0"/>
        <v>0</v>
      </c>
      <c r="O26">
        <f t="shared" si="1"/>
        <v>0</v>
      </c>
      <c r="P26">
        <f t="shared" si="2"/>
        <v>0</v>
      </c>
      <c r="Q26">
        <f t="shared" si="3"/>
        <v>0</v>
      </c>
      <c r="R26">
        <f t="shared" si="4"/>
        <v>0</v>
      </c>
      <c r="S26">
        <f t="shared" si="5"/>
        <v>5.8823529411764701</v>
      </c>
      <c r="T26">
        <f t="shared" si="6"/>
        <v>9.67741935483871</v>
      </c>
      <c r="U26">
        <f t="shared" si="7"/>
        <v>0</v>
      </c>
      <c r="W26" t="s">
        <v>38</v>
      </c>
      <c r="X26">
        <f t="shared" si="8"/>
        <v>0</v>
      </c>
      <c r="Y26">
        <f t="shared" si="9"/>
        <v>0</v>
      </c>
      <c r="Z26">
        <f t="shared" si="10"/>
        <v>0</v>
      </c>
      <c r="AA26">
        <f t="shared" si="11"/>
        <v>0</v>
      </c>
      <c r="AB26">
        <f t="shared" si="12"/>
        <v>0</v>
      </c>
      <c r="AC26">
        <f t="shared" si="13"/>
        <v>1.8518518518518516</v>
      </c>
      <c r="AD26">
        <f t="shared" si="14"/>
        <v>3.0612244897959182</v>
      </c>
      <c r="AE26">
        <f t="shared" si="15"/>
        <v>0</v>
      </c>
      <c r="AG26" t="s">
        <v>38</v>
      </c>
      <c r="AH26">
        <f t="shared" si="16"/>
        <v>0</v>
      </c>
      <c r="AI26">
        <f t="shared" si="17"/>
        <v>0</v>
      </c>
      <c r="AJ26">
        <f t="shared" si="18"/>
        <v>0</v>
      </c>
      <c r="AK26">
        <f t="shared" si="19"/>
        <v>0</v>
      </c>
      <c r="AL26">
        <f t="shared" si="20"/>
        <v>0</v>
      </c>
      <c r="AM26">
        <f t="shared" si="21"/>
        <v>6.25</v>
      </c>
      <c r="AN26">
        <f t="shared" si="22"/>
        <v>9.375</v>
      </c>
      <c r="AO26">
        <f t="shared" si="23"/>
        <v>0</v>
      </c>
    </row>
    <row r="27" spans="1:41" x14ac:dyDescent="0.35">
      <c r="A27" t="s">
        <v>12</v>
      </c>
      <c r="B27">
        <v>2</v>
      </c>
      <c r="C27">
        <v>1</v>
      </c>
      <c r="D27">
        <v>2</v>
      </c>
      <c r="E27">
        <v>3</v>
      </c>
      <c r="F27">
        <v>2</v>
      </c>
      <c r="G27">
        <v>2</v>
      </c>
      <c r="H27">
        <v>1</v>
      </c>
      <c r="I27">
        <v>4</v>
      </c>
      <c r="J27" t="s">
        <v>56</v>
      </c>
      <c r="K27" t="s">
        <v>22</v>
      </c>
      <c r="M27" t="s">
        <v>12</v>
      </c>
      <c r="N27">
        <f t="shared" si="0"/>
        <v>11.76470588235294</v>
      </c>
      <c r="O27">
        <f t="shared" si="1"/>
        <v>6.666666666666667</v>
      </c>
      <c r="P27">
        <f t="shared" si="2"/>
        <v>7.4074074074074066</v>
      </c>
      <c r="Q27">
        <f t="shared" si="3"/>
        <v>10.344827586206897</v>
      </c>
      <c r="R27">
        <f t="shared" si="4"/>
        <v>5.8823529411764701</v>
      </c>
      <c r="S27">
        <f t="shared" si="5"/>
        <v>5.8823529411764701</v>
      </c>
      <c r="T27">
        <f t="shared" si="6"/>
        <v>3.225806451612903</v>
      </c>
      <c r="U27">
        <f t="shared" si="7"/>
        <v>16</v>
      </c>
      <c r="W27" t="s">
        <v>12</v>
      </c>
      <c r="X27">
        <f t="shared" si="8"/>
        <v>6.25</v>
      </c>
      <c r="Y27">
        <f t="shared" si="9"/>
        <v>2.0408163265306123</v>
      </c>
      <c r="Z27">
        <f t="shared" si="10"/>
        <v>1.9417475728155338</v>
      </c>
      <c r="AA27">
        <f t="shared" si="11"/>
        <v>2.5423728813559325</v>
      </c>
      <c r="AB27">
        <f t="shared" si="12"/>
        <v>1.7699115044247788</v>
      </c>
      <c r="AC27">
        <f t="shared" si="13"/>
        <v>1.8518518518518516</v>
      </c>
      <c r="AD27">
        <f t="shared" si="14"/>
        <v>1.0204081632653061</v>
      </c>
      <c r="AE27">
        <f t="shared" si="15"/>
        <v>6.666666666666667</v>
      </c>
      <c r="AG27" t="s">
        <v>12</v>
      </c>
      <c r="AH27">
        <f t="shared" si="16"/>
        <v>15.384615384615385</v>
      </c>
      <c r="AI27">
        <f t="shared" si="17"/>
        <v>4.3478260869565215</v>
      </c>
      <c r="AJ27">
        <f t="shared" si="18"/>
        <v>5.7142857142857144</v>
      </c>
      <c r="AK27">
        <f t="shared" si="19"/>
        <v>8.5714285714285712</v>
      </c>
      <c r="AL27">
        <f t="shared" si="20"/>
        <v>6.25</v>
      </c>
      <c r="AM27">
        <f t="shared" si="21"/>
        <v>6.25</v>
      </c>
      <c r="AN27">
        <f t="shared" si="22"/>
        <v>3.125</v>
      </c>
      <c r="AO27">
        <f t="shared" si="23"/>
        <v>22.222222222222221</v>
      </c>
    </row>
    <row r="28" spans="1:41" x14ac:dyDescent="0.35">
      <c r="A28" t="s">
        <v>30</v>
      </c>
      <c r="D28">
        <v>1</v>
      </c>
      <c r="F28">
        <v>1</v>
      </c>
      <c r="I28">
        <v>2</v>
      </c>
      <c r="K28" t="s">
        <v>22</v>
      </c>
      <c r="M28" t="s">
        <v>30</v>
      </c>
      <c r="N28">
        <f t="shared" si="0"/>
        <v>0</v>
      </c>
      <c r="O28">
        <f t="shared" si="1"/>
        <v>0</v>
      </c>
      <c r="P28">
        <f t="shared" si="2"/>
        <v>3.7037037037037033</v>
      </c>
      <c r="Q28">
        <f t="shared" si="3"/>
        <v>0</v>
      </c>
      <c r="R28">
        <f t="shared" si="4"/>
        <v>2.9411764705882351</v>
      </c>
      <c r="S28">
        <f t="shared" si="5"/>
        <v>0</v>
      </c>
      <c r="T28">
        <f t="shared" si="6"/>
        <v>0</v>
      </c>
      <c r="U28">
        <f t="shared" si="7"/>
        <v>8</v>
      </c>
      <c r="W28" t="s">
        <v>30</v>
      </c>
      <c r="X28">
        <f t="shared" si="8"/>
        <v>0</v>
      </c>
      <c r="Y28">
        <f t="shared" si="9"/>
        <v>0</v>
      </c>
      <c r="Z28">
        <f t="shared" si="10"/>
        <v>0.97087378640776689</v>
      </c>
      <c r="AA28">
        <f t="shared" si="11"/>
        <v>0</v>
      </c>
      <c r="AB28">
        <f t="shared" si="12"/>
        <v>0.88495575221238942</v>
      </c>
      <c r="AC28">
        <f t="shared" si="13"/>
        <v>0</v>
      </c>
      <c r="AD28">
        <f t="shared" si="14"/>
        <v>0</v>
      </c>
      <c r="AE28">
        <f t="shared" si="15"/>
        <v>3.3333333333333335</v>
      </c>
      <c r="AG28" t="s">
        <v>30</v>
      </c>
      <c r="AH28">
        <f t="shared" si="16"/>
        <v>0</v>
      </c>
      <c r="AI28">
        <f t="shared" si="17"/>
        <v>0</v>
      </c>
      <c r="AJ28">
        <f t="shared" si="18"/>
        <v>2.8571428571428572</v>
      </c>
      <c r="AK28">
        <f t="shared" si="19"/>
        <v>0</v>
      </c>
      <c r="AL28">
        <f t="shared" si="20"/>
        <v>3.125</v>
      </c>
      <c r="AM28">
        <f t="shared" si="21"/>
        <v>0</v>
      </c>
      <c r="AN28">
        <f t="shared" si="22"/>
        <v>0</v>
      </c>
      <c r="AO28">
        <f t="shared" si="23"/>
        <v>11.111111111111111</v>
      </c>
    </row>
    <row r="29" spans="1:41" x14ac:dyDescent="0.35">
      <c r="A29" t="s">
        <v>43</v>
      </c>
      <c r="G29">
        <v>2</v>
      </c>
      <c r="H29">
        <v>1</v>
      </c>
      <c r="K29" t="s">
        <v>42</v>
      </c>
      <c r="M29" t="s">
        <v>43</v>
      </c>
      <c r="N29">
        <f t="shared" si="0"/>
        <v>0</v>
      </c>
      <c r="O29">
        <f t="shared" si="1"/>
        <v>0</v>
      </c>
      <c r="P29">
        <f t="shared" si="2"/>
        <v>0</v>
      </c>
      <c r="Q29">
        <f t="shared" si="3"/>
        <v>0</v>
      </c>
      <c r="R29">
        <f t="shared" si="4"/>
        <v>0</v>
      </c>
      <c r="S29">
        <f t="shared" si="5"/>
        <v>5.8823529411764701</v>
      </c>
      <c r="T29">
        <f t="shared" si="6"/>
        <v>3.225806451612903</v>
      </c>
      <c r="U29">
        <f t="shared" si="7"/>
        <v>0</v>
      </c>
      <c r="W29" t="s">
        <v>43</v>
      </c>
      <c r="X29">
        <f t="shared" si="8"/>
        <v>0</v>
      </c>
      <c r="Y29">
        <f t="shared" si="9"/>
        <v>0</v>
      </c>
      <c r="Z29">
        <f t="shared" si="10"/>
        <v>0</v>
      </c>
      <c r="AA29">
        <f t="shared" si="11"/>
        <v>0</v>
      </c>
      <c r="AB29">
        <f t="shared" si="12"/>
        <v>0</v>
      </c>
      <c r="AC29">
        <f t="shared" si="13"/>
        <v>1.8518518518518516</v>
      </c>
      <c r="AD29">
        <f t="shared" si="14"/>
        <v>1.0204081632653061</v>
      </c>
      <c r="AE29">
        <f t="shared" si="15"/>
        <v>0</v>
      </c>
      <c r="AG29" t="s">
        <v>43</v>
      </c>
      <c r="AH29">
        <f t="shared" si="16"/>
        <v>0</v>
      </c>
      <c r="AI29">
        <f t="shared" si="17"/>
        <v>0</v>
      </c>
      <c r="AJ29">
        <f t="shared" si="18"/>
        <v>0</v>
      </c>
      <c r="AK29">
        <f t="shared" si="19"/>
        <v>0</v>
      </c>
      <c r="AL29">
        <f t="shared" si="20"/>
        <v>0</v>
      </c>
      <c r="AM29">
        <f t="shared" si="21"/>
        <v>6.25</v>
      </c>
      <c r="AN29">
        <f t="shared" si="22"/>
        <v>3.125</v>
      </c>
      <c r="AO29">
        <f t="shared" si="23"/>
        <v>0</v>
      </c>
    </row>
    <row r="30" spans="1:41" x14ac:dyDescent="0.35">
      <c r="A30" t="s">
        <v>1</v>
      </c>
      <c r="B30">
        <v>1</v>
      </c>
      <c r="D30">
        <v>3</v>
      </c>
      <c r="E30">
        <v>2</v>
      </c>
      <c r="G30">
        <v>1</v>
      </c>
      <c r="H30">
        <v>2</v>
      </c>
      <c r="K30" t="s">
        <v>0</v>
      </c>
      <c r="M30" t="s">
        <v>1</v>
      </c>
      <c r="N30">
        <f t="shared" si="0"/>
        <v>5.8823529411764701</v>
      </c>
      <c r="O30">
        <f t="shared" si="1"/>
        <v>0</v>
      </c>
      <c r="P30">
        <f t="shared" si="2"/>
        <v>11.111111111111111</v>
      </c>
      <c r="Q30">
        <f t="shared" si="3"/>
        <v>6.8965517241379306</v>
      </c>
      <c r="R30">
        <f t="shared" si="4"/>
        <v>0</v>
      </c>
      <c r="S30">
        <f t="shared" si="5"/>
        <v>2.9411764705882351</v>
      </c>
      <c r="T30">
        <f t="shared" si="6"/>
        <v>6.4516129032258061</v>
      </c>
      <c r="U30">
        <f t="shared" si="7"/>
        <v>0</v>
      </c>
      <c r="W30" t="s">
        <v>1</v>
      </c>
      <c r="X30">
        <f t="shared" si="8"/>
        <v>3.125</v>
      </c>
      <c r="Y30">
        <f t="shared" si="9"/>
        <v>0</v>
      </c>
      <c r="Z30">
        <f t="shared" si="10"/>
        <v>2.912621359223301</v>
      </c>
      <c r="AA30">
        <f t="shared" si="11"/>
        <v>1.6949152542372881</v>
      </c>
      <c r="AB30">
        <f t="shared" si="12"/>
        <v>0</v>
      </c>
      <c r="AC30">
        <f t="shared" si="13"/>
        <v>0.92592592592592582</v>
      </c>
      <c r="AD30">
        <f t="shared" si="14"/>
        <v>2.0408163265306123</v>
      </c>
      <c r="AE30">
        <f t="shared" si="15"/>
        <v>0</v>
      </c>
      <c r="AG30" t="s">
        <v>1</v>
      </c>
      <c r="AH30">
        <f t="shared" si="16"/>
        <v>7.6923076923076925</v>
      </c>
      <c r="AI30">
        <f t="shared" si="17"/>
        <v>0</v>
      </c>
      <c r="AJ30">
        <f t="shared" si="18"/>
        <v>8.5714285714285712</v>
      </c>
      <c r="AK30">
        <f t="shared" si="19"/>
        <v>5.7142857142857144</v>
      </c>
      <c r="AL30">
        <f t="shared" si="20"/>
        <v>0</v>
      </c>
      <c r="AM30">
        <f t="shared" si="21"/>
        <v>3.125</v>
      </c>
      <c r="AN30">
        <f t="shared" si="22"/>
        <v>6.25</v>
      </c>
      <c r="AO30">
        <f t="shared" si="23"/>
        <v>0</v>
      </c>
    </row>
    <row r="31" spans="1:41" x14ac:dyDescent="0.35">
      <c r="A31" t="s">
        <v>44</v>
      </c>
      <c r="G31">
        <v>1</v>
      </c>
      <c r="K31" t="s">
        <v>42</v>
      </c>
      <c r="M31" t="s">
        <v>44</v>
      </c>
      <c r="N31">
        <f t="shared" si="0"/>
        <v>0</v>
      </c>
      <c r="O31">
        <f t="shared" si="1"/>
        <v>0</v>
      </c>
      <c r="P31">
        <f t="shared" si="2"/>
        <v>0</v>
      </c>
      <c r="Q31">
        <f t="shared" si="3"/>
        <v>0</v>
      </c>
      <c r="R31">
        <f t="shared" si="4"/>
        <v>0</v>
      </c>
      <c r="S31">
        <f t="shared" si="5"/>
        <v>2.9411764705882351</v>
      </c>
      <c r="T31">
        <f t="shared" si="6"/>
        <v>0</v>
      </c>
      <c r="U31">
        <f t="shared" si="7"/>
        <v>0</v>
      </c>
      <c r="W31" t="s">
        <v>44</v>
      </c>
      <c r="X31">
        <f t="shared" si="8"/>
        <v>0</v>
      </c>
      <c r="Y31">
        <f t="shared" si="9"/>
        <v>0</v>
      </c>
      <c r="Z31">
        <f t="shared" si="10"/>
        <v>0</v>
      </c>
      <c r="AA31">
        <f t="shared" si="11"/>
        <v>0</v>
      </c>
      <c r="AB31">
        <f t="shared" si="12"/>
        <v>0</v>
      </c>
      <c r="AC31">
        <f t="shared" si="13"/>
        <v>0.92592592592592582</v>
      </c>
      <c r="AD31">
        <f t="shared" si="14"/>
        <v>0</v>
      </c>
      <c r="AE31">
        <f t="shared" si="15"/>
        <v>0</v>
      </c>
      <c r="AG31" t="s">
        <v>44</v>
      </c>
      <c r="AH31">
        <f t="shared" si="16"/>
        <v>0</v>
      </c>
      <c r="AI31">
        <f t="shared" si="17"/>
        <v>0</v>
      </c>
      <c r="AJ31">
        <f t="shared" si="18"/>
        <v>0</v>
      </c>
      <c r="AK31">
        <f t="shared" si="19"/>
        <v>0</v>
      </c>
      <c r="AL31">
        <f t="shared" si="20"/>
        <v>0</v>
      </c>
      <c r="AM31">
        <f t="shared" si="21"/>
        <v>3.125</v>
      </c>
      <c r="AN31">
        <f t="shared" si="22"/>
        <v>0</v>
      </c>
      <c r="AO31">
        <f t="shared" si="23"/>
        <v>0</v>
      </c>
    </row>
    <row r="32" spans="1:41" x14ac:dyDescent="0.35">
      <c r="A32" t="s">
        <v>41</v>
      </c>
      <c r="F32">
        <v>1</v>
      </c>
      <c r="K32" t="s">
        <v>40</v>
      </c>
      <c r="M32" t="s">
        <v>41</v>
      </c>
      <c r="N32">
        <f t="shared" si="0"/>
        <v>0</v>
      </c>
      <c r="O32">
        <f t="shared" si="1"/>
        <v>0</v>
      </c>
      <c r="P32">
        <f t="shared" si="2"/>
        <v>0</v>
      </c>
      <c r="Q32">
        <f t="shared" si="3"/>
        <v>0</v>
      </c>
      <c r="R32">
        <f t="shared" si="4"/>
        <v>2.9411764705882351</v>
      </c>
      <c r="S32">
        <f t="shared" si="5"/>
        <v>0</v>
      </c>
      <c r="T32">
        <f t="shared" si="6"/>
        <v>0</v>
      </c>
      <c r="U32">
        <f t="shared" si="7"/>
        <v>0</v>
      </c>
      <c r="W32" t="s">
        <v>41</v>
      </c>
      <c r="X32">
        <f t="shared" si="8"/>
        <v>0</v>
      </c>
      <c r="Y32">
        <f t="shared" si="9"/>
        <v>0</v>
      </c>
      <c r="Z32">
        <f t="shared" si="10"/>
        <v>0</v>
      </c>
      <c r="AA32">
        <f t="shared" si="11"/>
        <v>0</v>
      </c>
      <c r="AB32">
        <f t="shared" si="12"/>
        <v>0.88495575221238942</v>
      </c>
      <c r="AC32">
        <f t="shared" si="13"/>
        <v>0</v>
      </c>
      <c r="AD32">
        <f t="shared" si="14"/>
        <v>0</v>
      </c>
      <c r="AE32">
        <f t="shared" si="15"/>
        <v>0</v>
      </c>
      <c r="AG32" t="s">
        <v>41</v>
      </c>
      <c r="AH32">
        <f t="shared" si="16"/>
        <v>0</v>
      </c>
      <c r="AI32">
        <f t="shared" si="17"/>
        <v>0</v>
      </c>
      <c r="AJ32">
        <f t="shared" si="18"/>
        <v>0</v>
      </c>
      <c r="AK32">
        <f t="shared" si="19"/>
        <v>0</v>
      </c>
      <c r="AL32">
        <f t="shared" si="20"/>
        <v>3.125</v>
      </c>
      <c r="AM32">
        <f t="shared" si="21"/>
        <v>0</v>
      </c>
      <c r="AN32">
        <f t="shared" si="22"/>
        <v>0</v>
      </c>
      <c r="AO32">
        <f t="shared" si="23"/>
        <v>0</v>
      </c>
    </row>
    <row r="33" spans="1:41" x14ac:dyDescent="0.35">
      <c r="A33" t="s">
        <v>5</v>
      </c>
      <c r="B33">
        <v>1</v>
      </c>
      <c r="F33">
        <v>1</v>
      </c>
      <c r="H33">
        <v>1</v>
      </c>
      <c r="I33">
        <v>2</v>
      </c>
      <c r="K33" t="s">
        <v>0</v>
      </c>
      <c r="M33" t="s">
        <v>5</v>
      </c>
      <c r="N33">
        <f t="shared" si="0"/>
        <v>5.8823529411764701</v>
      </c>
      <c r="O33">
        <f t="shared" si="1"/>
        <v>0</v>
      </c>
      <c r="P33">
        <f t="shared" si="2"/>
        <v>0</v>
      </c>
      <c r="Q33">
        <f t="shared" si="3"/>
        <v>0</v>
      </c>
      <c r="R33">
        <f t="shared" si="4"/>
        <v>2.9411764705882351</v>
      </c>
      <c r="S33">
        <f t="shared" si="5"/>
        <v>0</v>
      </c>
      <c r="T33">
        <f t="shared" si="6"/>
        <v>3.225806451612903</v>
      </c>
      <c r="U33">
        <f t="shared" si="7"/>
        <v>8</v>
      </c>
      <c r="W33" t="s">
        <v>5</v>
      </c>
      <c r="X33">
        <f t="shared" si="8"/>
        <v>3.125</v>
      </c>
      <c r="Y33">
        <f t="shared" si="9"/>
        <v>0</v>
      </c>
      <c r="Z33">
        <f t="shared" si="10"/>
        <v>0</v>
      </c>
      <c r="AA33">
        <f t="shared" si="11"/>
        <v>0</v>
      </c>
      <c r="AB33">
        <f t="shared" si="12"/>
        <v>0.88495575221238942</v>
      </c>
      <c r="AC33">
        <f t="shared" si="13"/>
        <v>0</v>
      </c>
      <c r="AD33">
        <f t="shared" si="14"/>
        <v>1.0204081632653061</v>
      </c>
      <c r="AE33">
        <f t="shared" si="15"/>
        <v>3.3333333333333335</v>
      </c>
      <c r="AG33" t="s">
        <v>5</v>
      </c>
      <c r="AH33">
        <f t="shared" si="16"/>
        <v>7.6923076923076925</v>
      </c>
      <c r="AI33">
        <f t="shared" si="17"/>
        <v>0</v>
      </c>
      <c r="AJ33">
        <f t="shared" si="18"/>
        <v>0</v>
      </c>
      <c r="AK33">
        <f t="shared" si="19"/>
        <v>0</v>
      </c>
      <c r="AL33">
        <f t="shared" si="20"/>
        <v>3.125</v>
      </c>
      <c r="AM33">
        <f t="shared" si="21"/>
        <v>0</v>
      </c>
      <c r="AN33">
        <f t="shared" si="22"/>
        <v>3.125</v>
      </c>
      <c r="AO33">
        <f t="shared" si="23"/>
        <v>11.111111111111111</v>
      </c>
    </row>
    <row r="34" spans="1:41" x14ac:dyDescent="0.35">
      <c r="A34" t="s">
        <v>7</v>
      </c>
      <c r="B34">
        <v>1</v>
      </c>
      <c r="K34" t="s">
        <v>0</v>
      </c>
      <c r="M34" t="s">
        <v>7</v>
      </c>
      <c r="N34">
        <f t="shared" si="0"/>
        <v>5.8823529411764701</v>
      </c>
      <c r="O34">
        <f t="shared" si="1"/>
        <v>0</v>
      </c>
      <c r="P34">
        <f t="shared" si="2"/>
        <v>0</v>
      </c>
      <c r="Q34">
        <f t="shared" si="3"/>
        <v>0</v>
      </c>
      <c r="R34">
        <f t="shared" si="4"/>
        <v>0</v>
      </c>
      <c r="S34">
        <f t="shared" si="5"/>
        <v>0</v>
      </c>
      <c r="T34">
        <f t="shared" si="6"/>
        <v>0</v>
      </c>
      <c r="U34">
        <f t="shared" si="7"/>
        <v>0</v>
      </c>
      <c r="W34" t="s">
        <v>7</v>
      </c>
      <c r="X34">
        <f t="shared" si="8"/>
        <v>3.125</v>
      </c>
      <c r="Y34">
        <f t="shared" si="9"/>
        <v>0</v>
      </c>
      <c r="Z34">
        <f t="shared" si="10"/>
        <v>0</v>
      </c>
      <c r="AA34">
        <f t="shared" si="11"/>
        <v>0</v>
      </c>
      <c r="AB34">
        <f t="shared" si="12"/>
        <v>0</v>
      </c>
      <c r="AC34">
        <f t="shared" si="13"/>
        <v>0</v>
      </c>
      <c r="AD34">
        <f t="shared" si="14"/>
        <v>0</v>
      </c>
      <c r="AE34">
        <f t="shared" si="15"/>
        <v>0</v>
      </c>
      <c r="AG34" t="s">
        <v>7</v>
      </c>
      <c r="AH34">
        <f t="shared" si="16"/>
        <v>7.6923076923076925</v>
      </c>
      <c r="AI34">
        <f t="shared" si="17"/>
        <v>0</v>
      </c>
      <c r="AJ34">
        <f t="shared" si="18"/>
        <v>0</v>
      </c>
      <c r="AK34">
        <f t="shared" si="19"/>
        <v>0</v>
      </c>
      <c r="AL34">
        <f t="shared" si="20"/>
        <v>0</v>
      </c>
      <c r="AM34">
        <f t="shared" si="21"/>
        <v>0</v>
      </c>
      <c r="AN34">
        <f t="shared" si="22"/>
        <v>0</v>
      </c>
      <c r="AO34">
        <f t="shared" si="23"/>
        <v>0</v>
      </c>
    </row>
    <row r="35" spans="1:41" x14ac:dyDescent="0.35">
      <c r="A35" t="s">
        <v>51</v>
      </c>
      <c r="H35">
        <v>1</v>
      </c>
      <c r="K35" t="s">
        <v>45</v>
      </c>
      <c r="M35" t="s">
        <v>51</v>
      </c>
      <c r="N35">
        <f t="shared" si="0"/>
        <v>0</v>
      </c>
      <c r="O35">
        <f t="shared" si="1"/>
        <v>0</v>
      </c>
      <c r="P35">
        <f t="shared" si="2"/>
        <v>0</v>
      </c>
      <c r="Q35">
        <f t="shared" si="3"/>
        <v>0</v>
      </c>
      <c r="R35">
        <f t="shared" si="4"/>
        <v>0</v>
      </c>
      <c r="S35">
        <f t="shared" si="5"/>
        <v>0</v>
      </c>
      <c r="T35">
        <f t="shared" si="6"/>
        <v>3.225806451612903</v>
      </c>
      <c r="U35">
        <f t="shared" si="7"/>
        <v>0</v>
      </c>
      <c r="W35" t="s">
        <v>51</v>
      </c>
      <c r="X35">
        <f t="shared" si="8"/>
        <v>0</v>
      </c>
      <c r="Y35">
        <f t="shared" si="9"/>
        <v>0</v>
      </c>
      <c r="Z35">
        <f t="shared" si="10"/>
        <v>0</v>
      </c>
      <c r="AA35">
        <f t="shared" si="11"/>
        <v>0</v>
      </c>
      <c r="AB35">
        <f t="shared" si="12"/>
        <v>0</v>
      </c>
      <c r="AC35">
        <f t="shared" si="13"/>
        <v>0</v>
      </c>
      <c r="AD35">
        <f t="shared" si="14"/>
        <v>1.0204081632653061</v>
      </c>
      <c r="AE35">
        <f t="shared" si="15"/>
        <v>0</v>
      </c>
      <c r="AG35" t="s">
        <v>51</v>
      </c>
      <c r="AH35">
        <f t="shared" si="16"/>
        <v>0</v>
      </c>
      <c r="AI35">
        <f t="shared" si="17"/>
        <v>0</v>
      </c>
      <c r="AJ35">
        <f t="shared" si="18"/>
        <v>0</v>
      </c>
      <c r="AK35">
        <f t="shared" si="19"/>
        <v>0</v>
      </c>
      <c r="AL35">
        <f t="shared" si="20"/>
        <v>0</v>
      </c>
      <c r="AM35">
        <f t="shared" si="21"/>
        <v>0</v>
      </c>
      <c r="AN35">
        <f t="shared" si="22"/>
        <v>3.125</v>
      </c>
      <c r="AO35">
        <f t="shared" si="23"/>
        <v>0</v>
      </c>
    </row>
    <row r="36" spans="1:41" x14ac:dyDescent="0.35">
      <c r="A36" t="s">
        <v>24</v>
      </c>
      <c r="D36">
        <v>3</v>
      </c>
      <c r="E36">
        <v>5</v>
      </c>
      <c r="F36">
        <v>3</v>
      </c>
      <c r="G36">
        <v>3</v>
      </c>
      <c r="H36">
        <v>3</v>
      </c>
      <c r="K36" t="s">
        <v>22</v>
      </c>
      <c r="M36" t="s">
        <v>24</v>
      </c>
      <c r="N36">
        <f t="shared" si="0"/>
        <v>0</v>
      </c>
      <c r="O36">
        <f t="shared" si="1"/>
        <v>0</v>
      </c>
      <c r="P36">
        <f t="shared" si="2"/>
        <v>11.111111111111111</v>
      </c>
      <c r="Q36">
        <f t="shared" si="3"/>
        <v>17.241379310344829</v>
      </c>
      <c r="R36">
        <f t="shared" si="4"/>
        <v>8.8235294117647065</v>
      </c>
      <c r="S36">
        <f t="shared" si="5"/>
        <v>8.8235294117647065</v>
      </c>
      <c r="T36">
        <f t="shared" si="6"/>
        <v>9.67741935483871</v>
      </c>
      <c r="U36">
        <f t="shared" si="7"/>
        <v>0</v>
      </c>
      <c r="W36" t="s">
        <v>24</v>
      </c>
      <c r="X36">
        <f t="shared" si="8"/>
        <v>0</v>
      </c>
      <c r="Y36">
        <f t="shared" si="9"/>
        <v>0</v>
      </c>
      <c r="Z36">
        <f t="shared" si="10"/>
        <v>2.912621359223301</v>
      </c>
      <c r="AA36">
        <f t="shared" si="11"/>
        <v>4.2372881355932197</v>
      </c>
      <c r="AB36">
        <f t="shared" si="12"/>
        <v>2.6548672566371683</v>
      </c>
      <c r="AC36">
        <f t="shared" si="13"/>
        <v>2.7777777777777777</v>
      </c>
      <c r="AD36">
        <f t="shared" si="14"/>
        <v>3.0612244897959182</v>
      </c>
      <c r="AE36">
        <f t="shared" si="15"/>
        <v>0</v>
      </c>
      <c r="AG36" t="s">
        <v>24</v>
      </c>
      <c r="AH36">
        <f t="shared" si="16"/>
        <v>0</v>
      </c>
      <c r="AI36">
        <f t="shared" si="17"/>
        <v>0</v>
      </c>
      <c r="AJ36">
        <f t="shared" si="18"/>
        <v>8.5714285714285712</v>
      </c>
      <c r="AK36">
        <f t="shared" si="19"/>
        <v>14.285714285714285</v>
      </c>
      <c r="AL36">
        <f t="shared" si="20"/>
        <v>9.375</v>
      </c>
      <c r="AM36">
        <f t="shared" si="21"/>
        <v>9.375</v>
      </c>
      <c r="AN36">
        <f t="shared" si="22"/>
        <v>9.375</v>
      </c>
      <c r="AO36">
        <f t="shared" si="23"/>
        <v>0</v>
      </c>
    </row>
    <row r="37" spans="1:41" x14ac:dyDescent="0.35">
      <c r="A37" t="s">
        <v>20</v>
      </c>
      <c r="C37">
        <v>2</v>
      </c>
      <c r="D37">
        <v>1</v>
      </c>
      <c r="E37">
        <v>1</v>
      </c>
      <c r="F37">
        <v>3</v>
      </c>
      <c r="G37">
        <v>3</v>
      </c>
      <c r="H37">
        <v>3</v>
      </c>
      <c r="K37" t="s">
        <v>17</v>
      </c>
      <c r="M37" t="s">
        <v>20</v>
      </c>
      <c r="N37">
        <f t="shared" si="0"/>
        <v>0</v>
      </c>
      <c r="O37">
        <f t="shared" si="1"/>
        <v>13.333333333333334</v>
      </c>
      <c r="P37">
        <f t="shared" si="2"/>
        <v>3.7037037037037033</v>
      </c>
      <c r="Q37">
        <f t="shared" si="3"/>
        <v>3.4482758620689653</v>
      </c>
      <c r="R37">
        <f t="shared" si="4"/>
        <v>8.8235294117647065</v>
      </c>
      <c r="S37">
        <f t="shared" si="5"/>
        <v>8.8235294117647065</v>
      </c>
      <c r="T37">
        <f t="shared" si="6"/>
        <v>9.67741935483871</v>
      </c>
      <c r="U37">
        <f t="shared" si="7"/>
        <v>0</v>
      </c>
      <c r="W37" t="s">
        <v>20</v>
      </c>
      <c r="X37">
        <f t="shared" si="8"/>
        <v>0</v>
      </c>
      <c r="Y37">
        <f t="shared" si="9"/>
        <v>4.0816326530612246</v>
      </c>
      <c r="Z37">
        <f t="shared" si="10"/>
        <v>0.97087378640776689</v>
      </c>
      <c r="AA37">
        <f t="shared" si="11"/>
        <v>0.84745762711864403</v>
      </c>
      <c r="AB37">
        <f t="shared" si="12"/>
        <v>2.6548672566371683</v>
      </c>
      <c r="AC37">
        <f t="shared" si="13"/>
        <v>2.7777777777777777</v>
      </c>
      <c r="AD37">
        <f t="shared" si="14"/>
        <v>3.0612244897959182</v>
      </c>
      <c r="AE37">
        <f t="shared" si="15"/>
        <v>0</v>
      </c>
      <c r="AG37" t="s">
        <v>20</v>
      </c>
      <c r="AH37">
        <f t="shared" si="16"/>
        <v>0</v>
      </c>
      <c r="AI37">
        <f t="shared" si="17"/>
        <v>8.695652173913043</v>
      </c>
      <c r="AJ37">
        <f t="shared" si="18"/>
        <v>2.8571428571428572</v>
      </c>
      <c r="AK37">
        <f t="shared" si="19"/>
        <v>2.8571428571428572</v>
      </c>
      <c r="AL37">
        <f t="shared" si="20"/>
        <v>9.375</v>
      </c>
      <c r="AM37">
        <f t="shared" si="21"/>
        <v>9.375</v>
      </c>
      <c r="AN37">
        <f t="shared" si="22"/>
        <v>9.375</v>
      </c>
      <c r="AO37">
        <f t="shared" si="23"/>
        <v>0</v>
      </c>
    </row>
    <row r="38" spans="1:41" x14ac:dyDescent="0.35">
      <c r="A38" t="s">
        <v>21</v>
      </c>
      <c r="C38">
        <v>2</v>
      </c>
      <c r="D38">
        <v>1</v>
      </c>
      <c r="E38">
        <v>4</v>
      </c>
      <c r="F38">
        <v>7</v>
      </c>
      <c r="G38">
        <v>5</v>
      </c>
      <c r="H38">
        <v>5</v>
      </c>
      <c r="I38">
        <v>2</v>
      </c>
      <c r="K38" t="s">
        <v>17</v>
      </c>
      <c r="M38" t="s">
        <v>21</v>
      </c>
      <c r="N38">
        <f t="shared" si="0"/>
        <v>0</v>
      </c>
      <c r="O38">
        <f t="shared" si="1"/>
        <v>13.333333333333334</v>
      </c>
      <c r="P38">
        <f t="shared" si="2"/>
        <v>3.7037037037037033</v>
      </c>
      <c r="Q38">
        <f t="shared" si="3"/>
        <v>13.793103448275861</v>
      </c>
      <c r="R38">
        <f t="shared" si="4"/>
        <v>20.588235294117645</v>
      </c>
      <c r="S38">
        <f t="shared" si="5"/>
        <v>14.705882352941178</v>
      </c>
      <c r="T38">
        <f t="shared" si="6"/>
        <v>16.129032258064516</v>
      </c>
      <c r="U38">
        <f t="shared" si="7"/>
        <v>8</v>
      </c>
      <c r="W38" t="s">
        <v>21</v>
      </c>
      <c r="X38">
        <f t="shared" si="8"/>
        <v>0</v>
      </c>
      <c r="Y38">
        <f t="shared" si="9"/>
        <v>4.0816326530612246</v>
      </c>
      <c r="Z38">
        <f t="shared" si="10"/>
        <v>0.97087378640776689</v>
      </c>
      <c r="AA38">
        <f t="shared" si="11"/>
        <v>3.3898305084745761</v>
      </c>
      <c r="AB38">
        <f t="shared" si="12"/>
        <v>6.1946902654867255</v>
      </c>
      <c r="AC38">
        <f t="shared" si="13"/>
        <v>4.6296296296296298</v>
      </c>
      <c r="AD38">
        <f t="shared" si="14"/>
        <v>5.1020408163265305</v>
      </c>
      <c r="AE38">
        <f t="shared" si="15"/>
        <v>3.3333333333333335</v>
      </c>
      <c r="AG38" t="s">
        <v>21</v>
      </c>
      <c r="AH38">
        <f t="shared" si="16"/>
        <v>0</v>
      </c>
      <c r="AI38">
        <f t="shared" si="17"/>
        <v>8.695652173913043</v>
      </c>
      <c r="AJ38">
        <f t="shared" si="18"/>
        <v>2.8571428571428572</v>
      </c>
      <c r="AK38">
        <f t="shared" si="19"/>
        <v>11.428571428571429</v>
      </c>
      <c r="AL38">
        <f t="shared" si="20"/>
        <v>21.875</v>
      </c>
      <c r="AM38">
        <f t="shared" si="21"/>
        <v>15.625</v>
      </c>
      <c r="AN38">
        <f t="shared" si="22"/>
        <v>15.625</v>
      </c>
      <c r="AO38">
        <f t="shared" si="23"/>
        <v>11.111111111111111</v>
      </c>
    </row>
    <row r="39" spans="1:41" x14ac:dyDescent="0.35">
      <c r="A39" t="s">
        <v>29</v>
      </c>
      <c r="D39">
        <v>2</v>
      </c>
      <c r="E39">
        <v>2</v>
      </c>
      <c r="F39">
        <v>3</v>
      </c>
      <c r="G39">
        <v>1</v>
      </c>
      <c r="H39">
        <v>3</v>
      </c>
      <c r="I39">
        <v>1</v>
      </c>
      <c r="K39" t="s">
        <v>22</v>
      </c>
      <c r="M39" t="s">
        <v>29</v>
      </c>
      <c r="N39">
        <f t="shared" si="0"/>
        <v>0</v>
      </c>
      <c r="O39">
        <f t="shared" si="1"/>
        <v>0</v>
      </c>
      <c r="P39">
        <f t="shared" si="2"/>
        <v>7.4074074074074066</v>
      </c>
      <c r="Q39">
        <f t="shared" si="3"/>
        <v>6.8965517241379306</v>
      </c>
      <c r="R39">
        <f t="shared" si="4"/>
        <v>8.8235294117647065</v>
      </c>
      <c r="S39">
        <f t="shared" si="5"/>
        <v>2.9411764705882351</v>
      </c>
      <c r="T39">
        <f t="shared" si="6"/>
        <v>9.67741935483871</v>
      </c>
      <c r="U39">
        <f t="shared" si="7"/>
        <v>4</v>
      </c>
      <c r="W39" t="s">
        <v>29</v>
      </c>
      <c r="X39">
        <f t="shared" si="8"/>
        <v>0</v>
      </c>
      <c r="Y39">
        <f t="shared" si="9"/>
        <v>0</v>
      </c>
      <c r="Z39">
        <f t="shared" si="10"/>
        <v>1.9417475728155338</v>
      </c>
      <c r="AA39">
        <f t="shared" si="11"/>
        <v>1.6949152542372881</v>
      </c>
      <c r="AB39">
        <f t="shared" si="12"/>
        <v>2.6548672566371683</v>
      </c>
      <c r="AC39">
        <f t="shared" si="13"/>
        <v>0.92592592592592582</v>
      </c>
      <c r="AD39">
        <f t="shared" si="14"/>
        <v>3.0612244897959182</v>
      </c>
      <c r="AE39">
        <f t="shared" si="15"/>
        <v>1.6666666666666667</v>
      </c>
      <c r="AG39" t="s">
        <v>29</v>
      </c>
      <c r="AH39">
        <f t="shared" si="16"/>
        <v>0</v>
      </c>
      <c r="AI39">
        <f t="shared" si="17"/>
        <v>0</v>
      </c>
      <c r="AJ39">
        <f t="shared" si="18"/>
        <v>5.7142857142857144</v>
      </c>
      <c r="AK39">
        <f t="shared" si="19"/>
        <v>5.7142857142857144</v>
      </c>
      <c r="AL39">
        <f t="shared" si="20"/>
        <v>9.375</v>
      </c>
      <c r="AM39">
        <f t="shared" si="21"/>
        <v>3.125</v>
      </c>
      <c r="AN39">
        <f t="shared" si="22"/>
        <v>9.375</v>
      </c>
      <c r="AO39">
        <f t="shared" si="23"/>
        <v>5.5555555555555554</v>
      </c>
    </row>
    <row r="40" spans="1:41" x14ac:dyDescent="0.35">
      <c r="A40" t="s">
        <v>8</v>
      </c>
      <c r="B40">
        <v>1</v>
      </c>
      <c r="C40">
        <v>2</v>
      </c>
      <c r="D40">
        <v>5</v>
      </c>
      <c r="E40">
        <v>3</v>
      </c>
      <c r="F40">
        <v>6</v>
      </c>
      <c r="G40">
        <v>3</v>
      </c>
      <c r="H40">
        <v>2</v>
      </c>
      <c r="I40">
        <v>3</v>
      </c>
      <c r="J40" t="s">
        <v>56</v>
      </c>
      <c r="K40" t="s">
        <v>0</v>
      </c>
      <c r="M40" t="s">
        <v>8</v>
      </c>
      <c r="N40">
        <f t="shared" si="0"/>
        <v>5.8823529411764701</v>
      </c>
      <c r="O40">
        <f t="shared" si="1"/>
        <v>13.333333333333334</v>
      </c>
      <c r="P40">
        <f t="shared" si="2"/>
        <v>18.518518518518519</v>
      </c>
      <c r="Q40">
        <f t="shared" si="3"/>
        <v>10.344827586206897</v>
      </c>
      <c r="R40">
        <f t="shared" si="4"/>
        <v>17.647058823529413</v>
      </c>
      <c r="S40">
        <f t="shared" si="5"/>
        <v>8.8235294117647065</v>
      </c>
      <c r="T40">
        <f t="shared" si="6"/>
        <v>6.4516129032258061</v>
      </c>
      <c r="U40">
        <f t="shared" si="7"/>
        <v>12</v>
      </c>
      <c r="W40" t="s">
        <v>8</v>
      </c>
      <c r="X40">
        <f t="shared" si="8"/>
        <v>3.125</v>
      </c>
      <c r="Y40">
        <f t="shared" si="9"/>
        <v>4.0816326530612246</v>
      </c>
      <c r="Z40">
        <f t="shared" si="10"/>
        <v>4.8543689320388346</v>
      </c>
      <c r="AA40">
        <f t="shared" si="11"/>
        <v>2.5423728813559325</v>
      </c>
      <c r="AB40">
        <f t="shared" si="12"/>
        <v>5.3097345132743365</v>
      </c>
      <c r="AC40">
        <f t="shared" si="13"/>
        <v>2.7777777777777777</v>
      </c>
      <c r="AD40">
        <f t="shared" si="14"/>
        <v>2.0408163265306123</v>
      </c>
      <c r="AE40">
        <f t="shared" si="15"/>
        <v>5</v>
      </c>
      <c r="AG40" t="s">
        <v>8</v>
      </c>
      <c r="AH40">
        <f t="shared" si="16"/>
        <v>7.6923076923076925</v>
      </c>
      <c r="AI40">
        <f t="shared" si="17"/>
        <v>8.695652173913043</v>
      </c>
      <c r="AJ40">
        <f t="shared" si="18"/>
        <v>14.285714285714285</v>
      </c>
      <c r="AK40">
        <f t="shared" si="19"/>
        <v>8.5714285714285712</v>
      </c>
      <c r="AL40">
        <f t="shared" si="20"/>
        <v>18.75</v>
      </c>
      <c r="AM40">
        <f t="shared" si="21"/>
        <v>9.375</v>
      </c>
      <c r="AN40">
        <f t="shared" si="22"/>
        <v>6.25</v>
      </c>
      <c r="AO40">
        <f t="shared" si="23"/>
        <v>16.666666666666664</v>
      </c>
    </row>
    <row r="41" spans="1:41" x14ac:dyDescent="0.35">
      <c r="A41" t="s">
        <v>32</v>
      </c>
      <c r="D41">
        <v>1</v>
      </c>
      <c r="K41" t="s">
        <v>22</v>
      </c>
      <c r="M41" t="s">
        <v>32</v>
      </c>
      <c r="N41">
        <f t="shared" si="0"/>
        <v>0</v>
      </c>
      <c r="O41">
        <f t="shared" si="1"/>
        <v>0</v>
      </c>
      <c r="P41">
        <f t="shared" si="2"/>
        <v>3.7037037037037033</v>
      </c>
      <c r="Q41">
        <f t="shared" si="3"/>
        <v>0</v>
      </c>
      <c r="R41">
        <f t="shared" si="4"/>
        <v>0</v>
      </c>
      <c r="S41">
        <f t="shared" si="5"/>
        <v>0</v>
      </c>
      <c r="T41">
        <f t="shared" si="6"/>
        <v>0</v>
      </c>
      <c r="U41">
        <f t="shared" si="7"/>
        <v>0</v>
      </c>
      <c r="W41" t="s">
        <v>32</v>
      </c>
      <c r="X41">
        <f t="shared" si="8"/>
        <v>0</v>
      </c>
      <c r="Y41">
        <f t="shared" si="9"/>
        <v>0</v>
      </c>
      <c r="Z41">
        <f t="shared" si="10"/>
        <v>0.97087378640776689</v>
      </c>
      <c r="AA41">
        <f t="shared" si="11"/>
        <v>0</v>
      </c>
      <c r="AB41">
        <f t="shared" si="12"/>
        <v>0</v>
      </c>
      <c r="AC41">
        <f t="shared" si="13"/>
        <v>0</v>
      </c>
      <c r="AD41">
        <f t="shared" si="14"/>
        <v>0</v>
      </c>
      <c r="AE41">
        <f t="shared" si="15"/>
        <v>0</v>
      </c>
      <c r="AG41" t="s">
        <v>32</v>
      </c>
      <c r="AH41">
        <f t="shared" si="16"/>
        <v>0</v>
      </c>
      <c r="AI41">
        <f t="shared" si="17"/>
        <v>0</v>
      </c>
      <c r="AJ41">
        <f t="shared" si="18"/>
        <v>2.8571428571428572</v>
      </c>
      <c r="AK41">
        <f t="shared" si="19"/>
        <v>0</v>
      </c>
      <c r="AL41">
        <f t="shared" si="20"/>
        <v>0</v>
      </c>
      <c r="AM41">
        <f t="shared" si="21"/>
        <v>0</v>
      </c>
      <c r="AN41">
        <f t="shared" si="22"/>
        <v>0</v>
      </c>
      <c r="AO41">
        <f t="shared" si="23"/>
        <v>0</v>
      </c>
    </row>
    <row r="42" spans="1:41" x14ac:dyDescent="0.35">
      <c r="A42" t="s">
        <v>10</v>
      </c>
      <c r="B42">
        <v>2</v>
      </c>
      <c r="C42">
        <v>5</v>
      </c>
      <c r="D42">
        <v>4</v>
      </c>
      <c r="E42">
        <v>5</v>
      </c>
      <c r="F42">
        <v>4</v>
      </c>
      <c r="G42">
        <v>4</v>
      </c>
      <c r="H42">
        <v>1</v>
      </c>
      <c r="I42">
        <v>1</v>
      </c>
      <c r="J42" t="s">
        <v>56</v>
      </c>
      <c r="K42" t="s">
        <v>0</v>
      </c>
      <c r="M42" t="s">
        <v>10</v>
      </c>
      <c r="N42">
        <f t="shared" si="0"/>
        <v>11.76470588235294</v>
      </c>
      <c r="O42">
        <f t="shared" si="1"/>
        <v>33.333333333333329</v>
      </c>
      <c r="P42">
        <f t="shared" si="2"/>
        <v>14.814814814814813</v>
      </c>
      <c r="Q42">
        <f t="shared" si="3"/>
        <v>17.241379310344829</v>
      </c>
      <c r="R42">
        <f t="shared" si="4"/>
        <v>11.76470588235294</v>
      </c>
      <c r="S42">
        <f t="shared" si="5"/>
        <v>11.76470588235294</v>
      </c>
      <c r="T42">
        <f t="shared" si="6"/>
        <v>3.225806451612903</v>
      </c>
      <c r="U42">
        <f t="shared" si="7"/>
        <v>4</v>
      </c>
      <c r="W42" t="s">
        <v>10</v>
      </c>
      <c r="X42">
        <f t="shared" si="8"/>
        <v>6.25</v>
      </c>
      <c r="Y42">
        <f t="shared" si="9"/>
        <v>10.204081632653061</v>
      </c>
      <c r="Z42">
        <f t="shared" si="10"/>
        <v>3.8834951456310676</v>
      </c>
      <c r="AA42">
        <f t="shared" si="11"/>
        <v>4.2372881355932197</v>
      </c>
      <c r="AB42">
        <f t="shared" si="12"/>
        <v>3.5398230088495577</v>
      </c>
      <c r="AC42">
        <f t="shared" si="13"/>
        <v>3.7037037037037033</v>
      </c>
      <c r="AD42">
        <f t="shared" si="14"/>
        <v>1.0204081632653061</v>
      </c>
      <c r="AE42">
        <f t="shared" si="15"/>
        <v>1.6666666666666667</v>
      </c>
      <c r="AG42" t="s">
        <v>10</v>
      </c>
      <c r="AH42">
        <f t="shared" si="16"/>
        <v>15.384615384615385</v>
      </c>
      <c r="AI42">
        <f t="shared" si="17"/>
        <v>21.739130434782609</v>
      </c>
      <c r="AJ42">
        <f t="shared" si="18"/>
        <v>11.428571428571429</v>
      </c>
      <c r="AK42">
        <f t="shared" si="19"/>
        <v>14.285714285714285</v>
      </c>
      <c r="AL42">
        <f t="shared" si="20"/>
        <v>12.5</v>
      </c>
      <c r="AM42">
        <f t="shared" si="21"/>
        <v>12.5</v>
      </c>
      <c r="AN42">
        <f t="shared" si="22"/>
        <v>3.125</v>
      </c>
      <c r="AO42">
        <f t="shared" si="23"/>
        <v>5.5555555555555554</v>
      </c>
    </row>
    <row r="43" spans="1:41" x14ac:dyDescent="0.35">
      <c r="A43" t="s">
        <v>16</v>
      </c>
      <c r="B43">
        <v>2</v>
      </c>
      <c r="C43">
        <v>5</v>
      </c>
      <c r="D43">
        <v>8</v>
      </c>
      <c r="E43">
        <v>9</v>
      </c>
      <c r="F43">
        <v>5</v>
      </c>
      <c r="G43">
        <v>2</v>
      </c>
      <c r="H43">
        <v>2</v>
      </c>
      <c r="K43" t="s">
        <v>0</v>
      </c>
      <c r="M43" t="s">
        <v>16</v>
      </c>
      <c r="N43">
        <f t="shared" si="0"/>
        <v>11.76470588235294</v>
      </c>
      <c r="O43">
        <f t="shared" si="1"/>
        <v>33.333333333333329</v>
      </c>
      <c r="P43">
        <f t="shared" si="2"/>
        <v>29.629629629629626</v>
      </c>
      <c r="Q43">
        <f t="shared" si="3"/>
        <v>31.03448275862069</v>
      </c>
      <c r="R43">
        <f t="shared" si="4"/>
        <v>14.705882352941178</v>
      </c>
      <c r="S43">
        <f t="shared" si="5"/>
        <v>5.8823529411764701</v>
      </c>
      <c r="T43">
        <f t="shared" si="6"/>
        <v>6.4516129032258061</v>
      </c>
      <c r="U43">
        <f t="shared" si="7"/>
        <v>0</v>
      </c>
      <c r="W43" t="s">
        <v>16</v>
      </c>
      <c r="X43">
        <f t="shared" si="8"/>
        <v>6.25</v>
      </c>
      <c r="Y43">
        <f t="shared" si="9"/>
        <v>10.204081632653061</v>
      </c>
      <c r="Z43">
        <f t="shared" si="10"/>
        <v>7.7669902912621351</v>
      </c>
      <c r="AA43">
        <f t="shared" si="11"/>
        <v>7.6271186440677967</v>
      </c>
      <c r="AB43">
        <f t="shared" si="12"/>
        <v>4.4247787610619467</v>
      </c>
      <c r="AC43">
        <f t="shared" si="13"/>
        <v>1.8518518518518516</v>
      </c>
      <c r="AD43">
        <f t="shared" si="14"/>
        <v>2.0408163265306123</v>
      </c>
      <c r="AE43">
        <f t="shared" si="15"/>
        <v>0</v>
      </c>
      <c r="AG43" t="s">
        <v>16</v>
      </c>
      <c r="AH43">
        <f t="shared" si="16"/>
        <v>15.384615384615385</v>
      </c>
      <c r="AI43">
        <f t="shared" si="17"/>
        <v>21.739130434782609</v>
      </c>
      <c r="AJ43">
        <f t="shared" si="18"/>
        <v>22.857142857142858</v>
      </c>
      <c r="AK43">
        <f t="shared" si="19"/>
        <v>25.714285714285712</v>
      </c>
      <c r="AL43">
        <f t="shared" si="20"/>
        <v>15.625</v>
      </c>
      <c r="AM43">
        <f t="shared" si="21"/>
        <v>6.25</v>
      </c>
      <c r="AN43">
        <f t="shared" si="22"/>
        <v>6.25</v>
      </c>
      <c r="AO43">
        <f t="shared" si="23"/>
        <v>0</v>
      </c>
    </row>
    <row r="44" spans="1:41" x14ac:dyDescent="0.35">
      <c r="A44" t="s">
        <v>49</v>
      </c>
      <c r="I44">
        <v>1</v>
      </c>
      <c r="K44" t="s">
        <v>47</v>
      </c>
      <c r="M44" t="s">
        <v>49</v>
      </c>
      <c r="N44">
        <f t="shared" si="0"/>
        <v>0</v>
      </c>
      <c r="O44">
        <f t="shared" si="1"/>
        <v>0</v>
      </c>
      <c r="P44">
        <f t="shared" si="2"/>
        <v>0</v>
      </c>
      <c r="Q44">
        <f t="shared" si="3"/>
        <v>0</v>
      </c>
      <c r="R44">
        <f t="shared" si="4"/>
        <v>0</v>
      </c>
      <c r="S44">
        <f t="shared" si="5"/>
        <v>0</v>
      </c>
      <c r="T44">
        <f t="shared" si="6"/>
        <v>0</v>
      </c>
      <c r="U44">
        <f t="shared" si="7"/>
        <v>4</v>
      </c>
      <c r="W44" t="s">
        <v>49</v>
      </c>
      <c r="X44">
        <f t="shared" si="8"/>
        <v>0</v>
      </c>
      <c r="Y44">
        <f t="shared" si="9"/>
        <v>0</v>
      </c>
      <c r="Z44">
        <f t="shared" si="10"/>
        <v>0</v>
      </c>
      <c r="AA44">
        <f t="shared" si="11"/>
        <v>0</v>
      </c>
      <c r="AB44">
        <f t="shared" si="12"/>
        <v>0</v>
      </c>
      <c r="AC44">
        <f t="shared" si="13"/>
        <v>0</v>
      </c>
      <c r="AD44">
        <f t="shared" si="14"/>
        <v>0</v>
      </c>
      <c r="AE44">
        <f t="shared" si="15"/>
        <v>1.6666666666666667</v>
      </c>
      <c r="AG44" t="s">
        <v>49</v>
      </c>
      <c r="AH44">
        <f t="shared" si="16"/>
        <v>0</v>
      </c>
      <c r="AI44">
        <f t="shared" si="17"/>
        <v>0</v>
      </c>
      <c r="AJ44">
        <f t="shared" si="18"/>
        <v>0</v>
      </c>
      <c r="AK44">
        <f t="shared" si="19"/>
        <v>0</v>
      </c>
      <c r="AL44">
        <f t="shared" si="20"/>
        <v>0</v>
      </c>
      <c r="AM44">
        <f t="shared" si="21"/>
        <v>0</v>
      </c>
      <c r="AN44">
        <f t="shared" si="22"/>
        <v>0</v>
      </c>
      <c r="AO44">
        <f t="shared" si="23"/>
        <v>5.5555555555555554</v>
      </c>
    </row>
    <row r="45" spans="1:41" x14ac:dyDescent="0.35">
      <c r="A45" t="s">
        <v>11</v>
      </c>
      <c r="B45">
        <v>1</v>
      </c>
      <c r="C45">
        <v>3</v>
      </c>
      <c r="D45">
        <v>9</v>
      </c>
      <c r="E45">
        <v>11</v>
      </c>
      <c r="F45">
        <v>11</v>
      </c>
      <c r="G45">
        <v>12</v>
      </c>
      <c r="H45">
        <v>8</v>
      </c>
      <c r="I45">
        <v>6</v>
      </c>
      <c r="J45" t="s">
        <v>56</v>
      </c>
      <c r="K45" t="s">
        <v>0</v>
      </c>
      <c r="M45" t="s">
        <v>11</v>
      </c>
      <c r="N45">
        <f t="shared" si="0"/>
        <v>5.8823529411764701</v>
      </c>
      <c r="O45">
        <f t="shared" si="1"/>
        <v>20</v>
      </c>
      <c r="P45">
        <f t="shared" si="2"/>
        <v>33.333333333333329</v>
      </c>
      <c r="Q45">
        <f t="shared" si="3"/>
        <v>37.931034482758619</v>
      </c>
      <c r="R45">
        <f t="shared" si="4"/>
        <v>32.352941176470587</v>
      </c>
      <c r="S45">
        <f t="shared" si="5"/>
        <v>35.294117647058826</v>
      </c>
      <c r="T45">
        <f t="shared" si="6"/>
        <v>25.806451612903224</v>
      </c>
      <c r="U45">
        <f t="shared" si="7"/>
        <v>24</v>
      </c>
      <c r="W45" t="s">
        <v>11</v>
      </c>
      <c r="X45">
        <f t="shared" si="8"/>
        <v>3.125</v>
      </c>
      <c r="Y45">
        <f t="shared" si="9"/>
        <v>6.1224489795918364</v>
      </c>
      <c r="Z45">
        <f t="shared" si="10"/>
        <v>8.7378640776699026</v>
      </c>
      <c r="AA45">
        <f t="shared" si="11"/>
        <v>9.3220338983050848</v>
      </c>
      <c r="AB45">
        <f t="shared" si="12"/>
        <v>9.7345132743362832</v>
      </c>
      <c r="AC45">
        <f t="shared" si="13"/>
        <v>11.111111111111111</v>
      </c>
      <c r="AD45">
        <f t="shared" si="14"/>
        <v>8.1632653061224492</v>
      </c>
      <c r="AE45">
        <f t="shared" si="15"/>
        <v>10</v>
      </c>
      <c r="AG45" t="s">
        <v>11</v>
      </c>
      <c r="AH45">
        <f t="shared" si="16"/>
        <v>7.6923076923076925</v>
      </c>
      <c r="AI45">
        <f t="shared" si="17"/>
        <v>13.043478260869565</v>
      </c>
      <c r="AJ45">
        <f t="shared" si="18"/>
        <v>25.714285714285712</v>
      </c>
      <c r="AK45">
        <f t="shared" si="19"/>
        <v>31.428571428571427</v>
      </c>
      <c r="AL45">
        <f t="shared" si="20"/>
        <v>34.375</v>
      </c>
      <c r="AM45">
        <f t="shared" si="21"/>
        <v>37.5</v>
      </c>
      <c r="AN45">
        <f t="shared" si="22"/>
        <v>25</v>
      </c>
      <c r="AO45">
        <f t="shared" si="23"/>
        <v>33.333333333333329</v>
      </c>
    </row>
    <row r="46" spans="1:41" x14ac:dyDescent="0.35">
      <c r="A46" t="s">
        <v>15</v>
      </c>
      <c r="B46">
        <v>1</v>
      </c>
      <c r="C46">
        <v>1</v>
      </c>
      <c r="D46">
        <v>3</v>
      </c>
      <c r="F46">
        <v>1</v>
      </c>
      <c r="G46">
        <v>1</v>
      </c>
      <c r="H46">
        <v>2</v>
      </c>
      <c r="I46">
        <v>2</v>
      </c>
      <c r="K46" t="s">
        <v>0</v>
      </c>
      <c r="M46" t="s">
        <v>15</v>
      </c>
      <c r="N46">
        <f>B46/17*100</f>
        <v>5.8823529411764701</v>
      </c>
      <c r="O46">
        <f t="shared" si="1"/>
        <v>6.666666666666667</v>
      </c>
      <c r="P46">
        <f t="shared" si="2"/>
        <v>11.111111111111111</v>
      </c>
      <c r="Q46">
        <f t="shared" si="3"/>
        <v>0</v>
      </c>
      <c r="R46">
        <f t="shared" si="4"/>
        <v>2.9411764705882351</v>
      </c>
      <c r="S46">
        <f t="shared" si="5"/>
        <v>2.9411764705882351</v>
      </c>
      <c r="T46">
        <f t="shared" si="6"/>
        <v>6.4516129032258061</v>
      </c>
      <c r="U46">
        <f t="shared" si="7"/>
        <v>8</v>
      </c>
      <c r="W46" t="s">
        <v>15</v>
      </c>
      <c r="X46">
        <f t="shared" si="8"/>
        <v>3.125</v>
      </c>
      <c r="Y46">
        <f t="shared" si="9"/>
        <v>2.0408163265306123</v>
      </c>
      <c r="Z46">
        <f t="shared" si="10"/>
        <v>2.912621359223301</v>
      </c>
      <c r="AA46">
        <f t="shared" si="11"/>
        <v>0</v>
      </c>
      <c r="AB46">
        <f t="shared" si="12"/>
        <v>0.88495575221238942</v>
      </c>
      <c r="AC46">
        <f t="shared" si="13"/>
        <v>0.92592592592592582</v>
      </c>
      <c r="AD46">
        <f t="shared" si="14"/>
        <v>2.0408163265306123</v>
      </c>
      <c r="AE46">
        <f t="shared" si="15"/>
        <v>3.3333333333333335</v>
      </c>
      <c r="AG46" t="s">
        <v>15</v>
      </c>
      <c r="AH46">
        <f>B46/13*100</f>
        <v>7.6923076923076925</v>
      </c>
      <c r="AI46">
        <f>C46/23*100</f>
        <v>4.3478260869565215</v>
      </c>
      <c r="AJ46">
        <f>D46/35*100</f>
        <v>8.5714285714285712</v>
      </c>
      <c r="AK46">
        <f>E46/35*100</f>
        <v>0</v>
      </c>
      <c r="AL46">
        <f t="shared" si="20"/>
        <v>3.125</v>
      </c>
      <c r="AM46">
        <f t="shared" si="21"/>
        <v>3.125</v>
      </c>
      <c r="AN46">
        <f t="shared" si="22"/>
        <v>6.25</v>
      </c>
      <c r="AO46">
        <f>I46/18*100</f>
        <v>11.111111111111111</v>
      </c>
    </row>
    <row r="47" spans="1:41" x14ac:dyDescent="0.35">
      <c r="A47" t="s">
        <v>53</v>
      </c>
      <c r="B47">
        <f>SUM(B3:B46)</f>
        <v>32</v>
      </c>
      <c r="C47">
        <f>SUM(C3:C46)</f>
        <v>49</v>
      </c>
      <c r="D47">
        <f>SUM(D3:D46)</f>
        <v>103</v>
      </c>
      <c r="E47">
        <f>SUM(E3:E46)</f>
        <v>118</v>
      </c>
      <c r="F47">
        <f>SUM(F3:F46)</f>
        <v>113</v>
      </c>
      <c r="G47">
        <f>SUM(G3:G46)</f>
        <v>108</v>
      </c>
      <c r="H47">
        <f>SUM(H3:H46)</f>
        <v>98</v>
      </c>
      <c r="I47">
        <f>SUM(I3:I46)</f>
        <v>60</v>
      </c>
    </row>
    <row r="48" spans="1:41" x14ac:dyDescent="0.35">
      <c r="A48" t="s">
        <v>54</v>
      </c>
      <c r="B48">
        <v>17</v>
      </c>
      <c r="C48">
        <v>15</v>
      </c>
      <c r="D48">
        <v>27</v>
      </c>
      <c r="E48">
        <v>29</v>
      </c>
      <c r="F48">
        <v>30</v>
      </c>
      <c r="G48">
        <v>34</v>
      </c>
      <c r="H48">
        <v>31</v>
      </c>
      <c r="I48">
        <v>25</v>
      </c>
    </row>
    <row r="49" spans="1:9" x14ac:dyDescent="0.35">
      <c r="A49" t="s">
        <v>69</v>
      </c>
      <c r="B49">
        <f>B48/13</f>
        <v>1.3076923076923077</v>
      </c>
      <c r="C49">
        <f>C48/23</f>
        <v>0.65217391304347827</v>
      </c>
      <c r="D49">
        <f>D48/35</f>
        <v>0.77142857142857146</v>
      </c>
      <c r="E49">
        <f>E48/35</f>
        <v>0.82857142857142863</v>
      </c>
      <c r="F49">
        <f>F48/32</f>
        <v>0.9375</v>
      </c>
      <c r="G49">
        <f>G48/32</f>
        <v>1.0625</v>
      </c>
      <c r="H49">
        <f>H48/32</f>
        <v>0.96875</v>
      </c>
      <c r="I49">
        <f>I48/18</f>
        <v>1.3888888888888888</v>
      </c>
    </row>
    <row r="52" spans="1:9" x14ac:dyDescent="0.35">
      <c r="A52" s="4" t="s">
        <v>59</v>
      </c>
      <c r="B52" t="s">
        <v>60</v>
      </c>
      <c r="C52" t="s">
        <v>60</v>
      </c>
      <c r="D52" t="s">
        <v>60</v>
      </c>
      <c r="E52" t="s">
        <v>60</v>
      </c>
      <c r="F52" t="s">
        <v>60</v>
      </c>
      <c r="G52" t="s">
        <v>26</v>
      </c>
      <c r="H52" t="s">
        <v>60</v>
      </c>
      <c r="I52" t="s">
        <v>60</v>
      </c>
    </row>
    <row r="53" spans="1:9" x14ac:dyDescent="0.35">
      <c r="A53" s="4"/>
      <c r="B53" t="s">
        <v>9</v>
      </c>
      <c r="C53" t="s">
        <v>14</v>
      </c>
      <c r="D53" t="s">
        <v>14</v>
      </c>
      <c r="E53" t="s">
        <v>14</v>
      </c>
      <c r="F53" t="s">
        <v>14</v>
      </c>
      <c r="G53" t="s">
        <v>34</v>
      </c>
      <c r="H53" t="s">
        <v>65</v>
      </c>
      <c r="I53" t="s">
        <v>23</v>
      </c>
    </row>
    <row r="54" spans="1:9" x14ac:dyDescent="0.35">
      <c r="A54" s="4"/>
      <c r="B54" t="s">
        <v>6</v>
      </c>
      <c r="C54" t="s">
        <v>62</v>
      </c>
      <c r="D54" t="s">
        <v>16</v>
      </c>
      <c r="E54" t="s">
        <v>16</v>
      </c>
      <c r="F54" t="s">
        <v>21</v>
      </c>
      <c r="G54" t="s">
        <v>64</v>
      </c>
      <c r="H54" t="s">
        <v>6</v>
      </c>
      <c r="I54" t="s">
        <v>19</v>
      </c>
    </row>
    <row r="55" spans="1:9" x14ac:dyDescent="0.35">
      <c r="A55" s="4"/>
      <c r="B55" t="s">
        <v>3</v>
      </c>
      <c r="C55" t="s">
        <v>16</v>
      </c>
      <c r="D55" t="s">
        <v>63</v>
      </c>
      <c r="E55" t="s">
        <v>63</v>
      </c>
      <c r="F55" t="s">
        <v>11</v>
      </c>
      <c r="G55" t="s">
        <v>63</v>
      </c>
      <c r="H55" t="s">
        <v>63</v>
      </c>
      <c r="I55" t="s">
        <v>52</v>
      </c>
    </row>
    <row r="56" spans="1:9" x14ac:dyDescent="0.35">
      <c r="A56" s="4"/>
      <c r="B56" t="s">
        <v>61</v>
      </c>
      <c r="I56" t="s">
        <v>12</v>
      </c>
    </row>
    <row r="57" spans="1:9" x14ac:dyDescent="0.35">
      <c r="A57" s="4"/>
      <c r="B57" t="s">
        <v>62</v>
      </c>
      <c r="I57" t="s">
        <v>63</v>
      </c>
    </row>
    <row r="58" spans="1:9" x14ac:dyDescent="0.35">
      <c r="A58" s="4"/>
      <c r="B58" t="s">
        <v>16</v>
      </c>
    </row>
  </sheetData>
  <sortState xmlns:xlrd2="http://schemas.microsoft.com/office/spreadsheetml/2017/richdata2" ref="A3:E47">
    <sortCondition ref="A2:A47"/>
  </sortState>
  <mergeCells count="5">
    <mergeCell ref="N1:U1"/>
    <mergeCell ref="X1:AE1"/>
    <mergeCell ref="B1:I1"/>
    <mergeCell ref="AH1:AO1"/>
    <mergeCell ref="A52:A58"/>
  </mergeCells>
  <conditionalFormatting sqref="K1:L104857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top10" dxfId="47" priority="48" percent="1" rank="10"/>
  </conditionalFormatting>
  <conditionalFormatting sqref="O2:O1048576">
    <cfRule type="top10" dxfId="46" priority="47" percent="1" rank="10"/>
  </conditionalFormatting>
  <conditionalFormatting sqref="P2:P1048576">
    <cfRule type="top10" dxfId="45" priority="46" percent="1" rank="10"/>
  </conditionalFormatting>
  <conditionalFormatting sqref="Q2:Q1048576">
    <cfRule type="top10" dxfId="44" priority="45" percent="1" rank="10"/>
  </conditionalFormatting>
  <conditionalFormatting sqref="R2:R1048576">
    <cfRule type="top10" dxfId="43" priority="44" percent="1" rank="10"/>
  </conditionalFormatting>
  <conditionalFormatting sqref="S2:S1048576">
    <cfRule type="top10" dxfId="42" priority="43" percent="1" rank="10"/>
  </conditionalFormatting>
  <conditionalFormatting sqref="T2:T1048576">
    <cfRule type="top10" dxfId="41" priority="42" percent="1" rank="10"/>
  </conditionalFormatting>
  <conditionalFormatting sqref="U2:U1048576">
    <cfRule type="top10" dxfId="40" priority="41" percent="1" rank="10"/>
  </conditionalFormatting>
  <conditionalFormatting sqref="X2">
    <cfRule type="top10" dxfId="39" priority="40" percent="1" rank="10"/>
  </conditionalFormatting>
  <conditionalFormatting sqref="Y2">
    <cfRule type="top10" dxfId="38" priority="39" percent="1" rank="10"/>
  </conditionalFormatting>
  <conditionalFormatting sqref="Z2">
    <cfRule type="top10" dxfId="37" priority="38" percent="1" rank="10"/>
  </conditionalFormatting>
  <conditionalFormatting sqref="AA2">
    <cfRule type="top10" dxfId="36" priority="37" percent="1" rank="10"/>
  </conditionalFormatting>
  <conditionalFormatting sqref="AB2">
    <cfRule type="top10" dxfId="35" priority="36" percent="1" rank="10"/>
  </conditionalFormatting>
  <conditionalFormatting sqref="AC2">
    <cfRule type="top10" dxfId="34" priority="35" percent="1" rank="10"/>
  </conditionalFormatting>
  <conditionalFormatting sqref="AD2">
    <cfRule type="top10" dxfId="33" priority="34" percent="1" rank="10"/>
  </conditionalFormatting>
  <conditionalFormatting sqref="AE2:AF2">
    <cfRule type="top10" dxfId="32" priority="33" percent="1" rank="10"/>
  </conditionalFormatting>
  <conditionalFormatting sqref="X3:X46">
    <cfRule type="top10" dxfId="31" priority="32" percent="1" rank="10"/>
  </conditionalFormatting>
  <conditionalFormatting sqref="Y3:Y46">
    <cfRule type="top10" dxfId="30" priority="31" percent="1" rank="10"/>
  </conditionalFormatting>
  <conditionalFormatting sqref="Z3:Z46">
    <cfRule type="top10" dxfId="29" priority="30" percent="1" rank="10"/>
  </conditionalFormatting>
  <conditionalFormatting sqref="AA3:AA46">
    <cfRule type="top10" dxfId="28" priority="29" percent="1" rank="10"/>
  </conditionalFormatting>
  <conditionalFormatting sqref="AB3:AB46">
    <cfRule type="top10" dxfId="27" priority="28" percent="1" rank="10"/>
  </conditionalFormatting>
  <conditionalFormatting sqref="AC3:AC46">
    <cfRule type="top10" dxfId="26" priority="27" percent="1" rank="10"/>
  </conditionalFormatting>
  <conditionalFormatting sqref="AD3:AD46">
    <cfRule type="top10" dxfId="25" priority="26" percent="1" rank="10"/>
  </conditionalFormatting>
  <conditionalFormatting sqref="AE3:AF46">
    <cfRule type="top10" dxfId="24" priority="25" percent="1" rank="10"/>
  </conditionalFormatting>
  <conditionalFormatting sqref="AH2">
    <cfRule type="top10" dxfId="23" priority="24" percent="1" rank="10"/>
  </conditionalFormatting>
  <conditionalFormatting sqref="AI2">
    <cfRule type="top10" dxfId="22" priority="23" percent="1" rank="10"/>
  </conditionalFormatting>
  <conditionalFormatting sqref="AJ2">
    <cfRule type="top10" dxfId="21" priority="22" percent="1" rank="10"/>
  </conditionalFormatting>
  <conditionalFormatting sqref="AK2">
    <cfRule type="top10" dxfId="20" priority="21" percent="1" rank="10"/>
  </conditionalFormatting>
  <conditionalFormatting sqref="AL2">
    <cfRule type="top10" dxfId="19" priority="20" percent="1" rank="10"/>
  </conditionalFormatting>
  <conditionalFormatting sqref="AM2">
    <cfRule type="top10" dxfId="18" priority="19" percent="1" rank="10"/>
  </conditionalFormatting>
  <conditionalFormatting sqref="AN2">
    <cfRule type="top10" dxfId="17" priority="18" percent="1" rank="10"/>
  </conditionalFormatting>
  <conditionalFormatting sqref="AO2">
    <cfRule type="top10" dxfId="16" priority="17" percent="1" rank="10"/>
  </conditionalFormatting>
  <conditionalFormatting sqref="AH1:AH1048576">
    <cfRule type="top10" dxfId="15" priority="16" percent="1" rank="10"/>
  </conditionalFormatting>
  <conditionalFormatting sqref="AI1:AI1048576">
    <cfRule type="top10" dxfId="14" priority="15" percent="1" rank="10"/>
  </conditionalFormatting>
  <conditionalFormatting sqref="AJ1:AJ1048576">
    <cfRule type="top10" dxfId="13" priority="14" percent="1" rank="10"/>
  </conditionalFormatting>
  <conditionalFormatting sqref="AK1:AK1048576">
    <cfRule type="top10" dxfId="12" priority="13" percent="1" rank="10"/>
  </conditionalFormatting>
  <conditionalFormatting sqref="AL1:AL1048576">
    <cfRule type="top10" dxfId="11" priority="12" percent="1" rank="10"/>
  </conditionalFormatting>
  <conditionalFormatting sqref="AM1:AM1048576">
    <cfRule type="top10" dxfId="10" priority="11" percent="1" rank="10"/>
  </conditionalFormatting>
  <conditionalFormatting sqref="AN1:AN1048576">
    <cfRule type="top10" dxfId="9" priority="10" percent="1" rank="10"/>
  </conditionalFormatting>
  <conditionalFormatting sqref="AO1:AO1048576">
    <cfRule type="top10" dxfId="8" priority="9" percent="1" rank="10"/>
  </conditionalFormatting>
  <conditionalFormatting sqref="B52:B58">
    <cfRule type="top10" dxfId="7" priority="8" percent="1" rank="10"/>
  </conditionalFormatting>
  <conditionalFormatting sqref="C52:C58">
    <cfRule type="top10" dxfId="6" priority="7" percent="1" rank="10"/>
  </conditionalFormatting>
  <conditionalFormatting sqref="D52:D58">
    <cfRule type="top10" dxfId="5" priority="6" percent="1" rank="10"/>
  </conditionalFormatting>
  <conditionalFormatting sqref="E52:E58">
    <cfRule type="top10" dxfId="4" priority="5" percent="1" rank="10"/>
  </conditionalFormatting>
  <conditionalFormatting sqref="F52:F58">
    <cfRule type="top10" dxfId="3" priority="4" percent="1" rank="10"/>
  </conditionalFormatting>
  <conditionalFormatting sqref="G52:G58">
    <cfRule type="top10" dxfId="2" priority="3" percent="1" rank="10"/>
  </conditionalFormatting>
  <conditionalFormatting sqref="H52:H58">
    <cfRule type="top10" dxfId="1" priority="2" percent="1" rank="10"/>
  </conditionalFormatting>
  <conditionalFormatting sqref="I52:I58">
    <cfRule type="top10" dxfId="0" priority="1" percent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thèmes_années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</dc:creator>
  <cp:lastModifiedBy>Caroline</cp:lastModifiedBy>
  <dcterms:created xsi:type="dcterms:W3CDTF">2022-04-15T06:49:05Z</dcterms:created>
  <dcterms:modified xsi:type="dcterms:W3CDTF">2022-04-15T16:19:39Z</dcterms:modified>
</cp:coreProperties>
</file>